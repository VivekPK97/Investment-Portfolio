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pple/Desktop/Hult/MFIN/Portfolio Management /A1/"/>
    </mc:Choice>
  </mc:AlternateContent>
  <xr:revisionPtr revIDLastSave="0" documentId="13_ncr:1_{1819AC69-A4AF-574F-89CF-AD108F38640E}" xr6:coauthVersionLast="47" xr6:coauthVersionMax="47" xr10:uidLastSave="{00000000-0000-0000-0000-000000000000}"/>
  <bookViews>
    <workbookView xWindow="0" yWindow="0" windowWidth="25600" windowHeight="16000" activeTab="3" xr2:uid="{82C8B8E4-4911-7A43-BCED-EEA3E03DDBFC}"/>
  </bookViews>
  <sheets>
    <sheet name="Capital Allocation" sheetId="6" r:id="rId1"/>
    <sheet name="Asset Classes Allocation" sheetId="5" r:id="rId2"/>
    <sheet name="Security Allocation" sheetId="2" r:id="rId3"/>
    <sheet name="Data. Securities" sheetId="4" r:id="rId4"/>
    <sheet name="Data. Bond Duration &amp; Convexity" sheetId="7" r:id="rId5"/>
  </sheets>
  <externalReferences>
    <externalReference r:id="rId6"/>
    <externalReference r:id="rId7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Div1" localSheetId="3">#REF!</definedName>
    <definedName name="_Div1">#REF!</definedName>
    <definedName name="_Div2" localSheetId="3">#REF!</definedName>
    <definedName name="_Div2">#REF!</definedName>
    <definedName name="_Div3" localSheetId="3">#REF!</definedName>
    <definedName name="_Div3">#REF!</definedName>
    <definedName name="_Div4" localSheetId="3">#REF!</definedName>
    <definedName name="_Div4">#REF!</definedName>
    <definedName name="_Regression_Int">1</definedName>
    <definedName name="coup">[1]Convexity!$C$7</definedName>
    <definedName name="g_firm" localSheetId="4">#REF!</definedName>
    <definedName name="g_firm" localSheetId="3">#REF!</definedName>
    <definedName name="g_firm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42436.8542824074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k" localSheetId="4">#REF!</definedName>
    <definedName name="k" localSheetId="3">#REF!</definedName>
    <definedName name="k">#REF!</definedName>
    <definedName name="k_eq" localSheetId="3">#REF!</definedName>
    <definedName name="k_eq">#REF!</definedName>
    <definedName name="mat">[1]Convexity!$C$9</definedName>
    <definedName name="price">[1]Convexity!$C$10</definedName>
    <definedName name="Price4" localSheetId="4">#REF!</definedName>
    <definedName name="Price4" localSheetId="3">#REF!</definedName>
    <definedName name="Price4">#REF!</definedName>
    <definedName name="_xlnm.Print_Area" localSheetId="1">'Asset Classes Allocation'!$B$2:$G$40</definedName>
    <definedName name="_xlnm.Print_Area" localSheetId="4">#REF!</definedName>
    <definedName name="_xlnm.Print_Area" localSheetId="3">#REF!</definedName>
    <definedName name="_xlnm.Print_Area">#REF!</definedName>
    <definedName name="Print_Area_MI" localSheetId="3">#REF!</definedName>
    <definedName name="Print_Area_MI">#REF!</definedName>
    <definedName name="rdebt" localSheetId="3">#REF!</definedName>
    <definedName name="rdebt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elling_Price">'[2]Base Case'!$B$11</definedName>
    <definedName name="solver_adj" localSheetId="1" hidden="1">'Asset Classes Allocation'!$D$29</definedName>
    <definedName name="solver_adj" localSheetId="0" hidden="1">'Capital Allocation'!$D$11</definedName>
    <definedName name="solver_adj" localSheetId="2" hidden="1">'Security Allocation'!$E$63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1</definedName>
    <definedName name="solver_drv" localSheetId="0" hidden="1">1</definedName>
    <definedName name="solver_drv" localSheetId="2" hidden="1">1</definedName>
    <definedName name="solver_eng" localSheetId="1" hidden="1">1</definedName>
    <definedName name="solver_eng" localSheetId="0" hidden="1">1</definedName>
    <definedName name="solver_eng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'Asset Classes Allocation'!$B$26</definedName>
    <definedName name="solver_lhs1" localSheetId="0" hidden="1">'Capital Allocation'!$D$11</definedName>
    <definedName name="solver_lhs1" localSheetId="2" hidden="1">'Security Allocation'!$E$63</definedName>
    <definedName name="solver_lhs10" localSheetId="2" hidden="1">'Security Allocation'!$I$63</definedName>
    <definedName name="solver_lhs11" localSheetId="2" hidden="1">'Security Allocation'!$J$63</definedName>
    <definedName name="solver_lhs12" localSheetId="2" hidden="1">'Security Allocation'!$J$63</definedName>
    <definedName name="solver_lhs2" localSheetId="1" hidden="1">'Asset Classes Allocation'!$B$26</definedName>
    <definedName name="solver_lhs2" localSheetId="0" hidden="1">'Capital Allocation'!$D$11</definedName>
    <definedName name="solver_lhs2" localSheetId="2" hidden="1">'Security Allocation'!$E$63</definedName>
    <definedName name="solver_lhs3" localSheetId="2" hidden="1">'Security Allocation'!$F$63</definedName>
    <definedName name="solver_lhs4" localSheetId="2" hidden="1">'Security Allocation'!$F$63</definedName>
    <definedName name="solver_lhs5" localSheetId="2" hidden="1">'Security Allocation'!$G$63</definedName>
    <definedName name="solver_lhs6" localSheetId="2" hidden="1">'Security Allocation'!$G$63</definedName>
    <definedName name="solver_lhs7" localSheetId="2" hidden="1">'Security Allocation'!$H$63</definedName>
    <definedName name="solver_lhs8" localSheetId="2" hidden="1">'Security Allocation'!$H$63</definedName>
    <definedName name="solver_lhs9" localSheetId="2" hidden="1">'Security Allocation'!$I$63</definedName>
    <definedName name="solver_lin" localSheetId="1" hidden="1">2</definedName>
    <definedName name="solver_lin" localSheetId="0" hidden="1">2</definedName>
    <definedName name="solver_lin" localSheetId="2" hidden="1">2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2</definedName>
    <definedName name="solver_num" localSheetId="0" hidden="1">2</definedName>
    <definedName name="solver_num" localSheetId="2" hidden="1">2</definedName>
    <definedName name="solver_opt" localSheetId="1" hidden="1">'Asset Classes Allocation'!$D$35</definedName>
    <definedName name="solver_opt" localSheetId="0" hidden="1">'Capital Allocation'!$D$18</definedName>
    <definedName name="solver_opt" localSheetId="2" hidden="1">'Security Allocation'!$C$67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1</definedName>
    <definedName name="solver_rbv" localSheetId="0" hidden="1">1</definedName>
    <definedName name="solver_rbv" localSheetId="2" hidden="1">1</definedName>
    <definedName name="solver_rel1" localSheetId="1" hidden="1">1</definedName>
    <definedName name="solver_rel1" localSheetId="0" hidden="1">1</definedName>
    <definedName name="solver_rel1" localSheetId="2" hidden="1">1</definedName>
    <definedName name="solver_rel10" localSheetId="2" hidden="1">3</definedName>
    <definedName name="solver_rel11" localSheetId="2" hidden="1">1</definedName>
    <definedName name="solver_rel12" localSheetId="2" hidden="1">3</definedName>
    <definedName name="solver_rel2" localSheetId="1" hidden="1">3</definedName>
    <definedName name="solver_rel2" localSheetId="0" hidden="1">3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el7" localSheetId="2" hidden="1">1</definedName>
    <definedName name="solver_rel8" localSheetId="2" hidden="1">3</definedName>
    <definedName name="solver_rel9" localSheetId="2" hidden="1">1</definedName>
    <definedName name="solver_rhs1" localSheetId="1" hidden="1">1</definedName>
    <definedName name="solver_rhs1" localSheetId="0" hidden="1">1</definedName>
    <definedName name="solver_rhs1" localSheetId="2" hidden="1">1</definedName>
    <definedName name="solver_rhs10" localSheetId="2" hidden="1">0</definedName>
    <definedName name="solver_rhs11" localSheetId="2" hidden="1">1</definedName>
    <definedName name="solver_rhs12" localSheetId="2" hidden="1">0</definedName>
    <definedName name="solver_rhs2" localSheetId="1" hidden="1">0</definedName>
    <definedName name="solver_rhs2" localSheetId="0" hidden="1">0</definedName>
    <definedName name="solver_rhs2" localSheetId="2" hidden="1">0</definedName>
    <definedName name="solver_rhs3" localSheetId="2" hidden="1">1</definedName>
    <definedName name="solver_rhs4" localSheetId="2" hidden="1">0</definedName>
    <definedName name="solver_rhs5" localSheetId="2" hidden="1">1</definedName>
    <definedName name="solver_rhs6" localSheetId="2" hidden="1">0</definedName>
    <definedName name="solver_rhs7" localSheetId="2" hidden="1">1</definedName>
    <definedName name="solver_rhs8" localSheetId="2" hidden="1">0</definedName>
    <definedName name="solver_rhs9" localSheetId="2" hidden="1">1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1</definedName>
    <definedName name="solver_scl" localSheetId="0" hidden="1">1</definedName>
    <definedName name="solver_scl" localSheetId="2" hidden="1">1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1</definedName>
    <definedName name="solver_typ" localSheetId="0" hidden="1">1</definedName>
    <definedName name="solver_typ" localSheetId="2" hidden="1">1</definedName>
    <definedName name="solver_val" localSheetId="1" hidden="1">0</definedName>
    <definedName name="solver_val" localSheetId="0" hidden="1">0</definedName>
    <definedName name="solver_val" localSheetId="2" hidden="1">0.5</definedName>
    <definedName name="solver_ver" localSheetId="1" hidden="1">2</definedName>
    <definedName name="solver_ver" localSheetId="0" hidden="1">2</definedName>
    <definedName name="solver_ver" localSheetId="2" hidden="1">2</definedName>
    <definedName name="tax_rate" localSheetId="4">#REF!</definedName>
    <definedName name="tax_rate" localSheetId="3">#REF!</definedName>
    <definedName name="tax_rate">#REF!</definedName>
    <definedName name="taxtable" localSheetId="1">#REF!</definedName>
    <definedName name="taxtable" localSheetId="0">#REF!</definedName>
    <definedName name="taxtable" localSheetId="3">#REF!</definedName>
    <definedName name="taxtable" localSheetId="2">#REF!</definedName>
    <definedName name="taxtable">#REF!</definedName>
    <definedName name="term_g" localSheetId="3">#REF!</definedName>
    <definedName name="term_g">#REF!</definedName>
    <definedName name="Variable_Cost_per_unit">'[2]Base Case'!$B$12</definedName>
    <definedName name="WACC_5" localSheetId="4">#REF!</definedName>
    <definedName name="WACC_5" localSheetId="3">#REF!</definedName>
    <definedName name="WACC_5">#REF!</definedName>
    <definedName name="ytm">[1]Convexity!$C$8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5" l="1"/>
  <c r="D26" i="5"/>
  <c r="D24" i="5"/>
  <c r="C48" i="2"/>
  <c r="AU175" i="4"/>
  <c r="AT176" i="4"/>
  <c r="AT175" i="4"/>
  <c r="AU57" i="4"/>
  <c r="AT174" i="4"/>
  <c r="AT173" i="4" s="1"/>
  <c r="AT172" i="4" s="1"/>
  <c r="AT171" i="4" s="1"/>
  <c r="AT170" i="4" s="1"/>
  <c r="AT169" i="4" s="1"/>
  <c r="AT168" i="4" s="1"/>
  <c r="AT167" i="4" s="1"/>
  <c r="AT166" i="4" s="1"/>
  <c r="AT165" i="4" s="1"/>
  <c r="AT164" i="4" s="1"/>
  <c r="AT163" i="4" s="1"/>
  <c r="AT162" i="4" s="1"/>
  <c r="AT161" i="4" s="1"/>
  <c r="AT160" i="4" s="1"/>
  <c r="AT159" i="4" s="1"/>
  <c r="AT158" i="4" s="1"/>
  <c r="AT157" i="4" s="1"/>
  <c r="AT156" i="4" s="1"/>
  <c r="AT155" i="4" s="1"/>
  <c r="AT154" i="4" s="1"/>
  <c r="AT153" i="4" s="1"/>
  <c r="AT152" i="4" s="1"/>
  <c r="AT151" i="4" s="1"/>
  <c r="AT150" i="4" s="1"/>
  <c r="AT149" i="4" s="1"/>
  <c r="AT148" i="4" s="1"/>
  <c r="AT147" i="4" s="1"/>
  <c r="AT146" i="4" s="1"/>
  <c r="AT145" i="4" s="1"/>
  <c r="AT144" i="4" s="1"/>
  <c r="AT143" i="4" s="1"/>
  <c r="AT142" i="4" s="1"/>
  <c r="AT141" i="4" s="1"/>
  <c r="AT140" i="4" s="1"/>
  <c r="AT139" i="4" s="1"/>
  <c r="AT138" i="4" s="1"/>
  <c r="AT137" i="4" s="1"/>
  <c r="AT136" i="4" s="1"/>
  <c r="AT135" i="4" s="1"/>
  <c r="AT134" i="4" s="1"/>
  <c r="AT133" i="4" s="1"/>
  <c r="AT132" i="4" s="1"/>
  <c r="AT131" i="4" s="1"/>
  <c r="AT130" i="4" s="1"/>
  <c r="AT129" i="4" s="1"/>
  <c r="AT128" i="4" s="1"/>
  <c r="AT127" i="4" s="1"/>
  <c r="AT126" i="4" s="1"/>
  <c r="AT125" i="4" s="1"/>
  <c r="AT124" i="4" s="1"/>
  <c r="AT123" i="4" s="1"/>
  <c r="AT122" i="4" s="1"/>
  <c r="AT121" i="4" s="1"/>
  <c r="AT120" i="4" s="1"/>
  <c r="AT119" i="4" s="1"/>
  <c r="AT118" i="4" s="1"/>
  <c r="AT117" i="4" s="1"/>
  <c r="AT116" i="4" s="1"/>
  <c r="AT115" i="4" s="1"/>
  <c r="AT114" i="4" s="1"/>
  <c r="AT113" i="4" s="1"/>
  <c r="AT112" i="4" s="1"/>
  <c r="AT111" i="4" s="1"/>
  <c r="AT110" i="4" s="1"/>
  <c r="AT109" i="4" s="1"/>
  <c r="AT108" i="4" s="1"/>
  <c r="AT107" i="4" s="1"/>
  <c r="AT106" i="4" s="1"/>
  <c r="AT105" i="4" s="1"/>
  <c r="AT104" i="4" s="1"/>
  <c r="AT103" i="4" s="1"/>
  <c r="AT102" i="4" s="1"/>
  <c r="AT101" i="4" s="1"/>
  <c r="AT100" i="4" s="1"/>
  <c r="AT99" i="4" s="1"/>
  <c r="AT98" i="4" s="1"/>
  <c r="AT97" i="4" s="1"/>
  <c r="AT96" i="4" s="1"/>
  <c r="AT95" i="4" s="1"/>
  <c r="AT94" i="4" s="1"/>
  <c r="AT93" i="4" s="1"/>
  <c r="AT92" i="4" s="1"/>
  <c r="AT91" i="4" s="1"/>
  <c r="AT90" i="4" s="1"/>
  <c r="AT89" i="4" s="1"/>
  <c r="AT88" i="4" s="1"/>
  <c r="AT87" i="4" s="1"/>
  <c r="AT86" i="4" s="1"/>
  <c r="AT85" i="4" s="1"/>
  <c r="AT84" i="4" s="1"/>
  <c r="AT83" i="4" s="1"/>
  <c r="AT82" i="4" s="1"/>
  <c r="AT81" i="4" s="1"/>
  <c r="AT80" i="4" s="1"/>
  <c r="AT79" i="4" s="1"/>
  <c r="AT78" i="4" s="1"/>
  <c r="AT77" i="4" s="1"/>
  <c r="AT76" i="4" s="1"/>
  <c r="AT75" i="4" s="1"/>
  <c r="AT74" i="4" s="1"/>
  <c r="AT73" i="4" s="1"/>
  <c r="AT72" i="4" s="1"/>
  <c r="AT71" i="4" s="1"/>
  <c r="AT70" i="4" s="1"/>
  <c r="AT69" i="4" s="1"/>
  <c r="AT68" i="4" s="1"/>
  <c r="AT67" i="4" s="1"/>
  <c r="AT66" i="4" s="1"/>
  <c r="AT65" i="4" s="1"/>
  <c r="AT64" i="4" s="1"/>
  <c r="AT63" i="4" s="1"/>
  <c r="AT62" i="4" s="1"/>
  <c r="AT61" i="4" s="1"/>
  <c r="AT60" i="4" s="1"/>
  <c r="AT59" i="4" s="1"/>
  <c r="AT58" i="4" s="1"/>
  <c r="AT57" i="4" s="1"/>
  <c r="AT56" i="4" s="1"/>
  <c r="AU176" i="4"/>
  <c r="AM57" i="4"/>
  <c r="AK57" i="4"/>
  <c r="AL57" i="4"/>
  <c r="D57" i="4"/>
  <c r="C14" i="7" l="1"/>
  <c r="F6" i="5"/>
  <c r="AZ178" i="4"/>
  <c r="AZ179" i="4"/>
  <c r="AZ180" i="4"/>
  <c r="AZ181" i="4"/>
  <c r="AZ17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57" i="4"/>
  <c r="D17" i="6" l="1"/>
  <c r="D6" i="6"/>
  <c r="D63" i="2"/>
  <c r="C46" i="2"/>
  <c r="C45" i="2"/>
  <c r="K42" i="2"/>
  <c r="J41" i="2"/>
  <c r="I40" i="2"/>
  <c r="K20" i="2"/>
  <c r="H17" i="2"/>
  <c r="C12" i="2"/>
  <c r="C7" i="2"/>
  <c r="C5" i="2"/>
  <c r="K4" i="2"/>
  <c r="K44" i="2" s="1"/>
  <c r="M50" i="2" s="1"/>
  <c r="M62" i="2" s="1"/>
  <c r="J4" i="2"/>
  <c r="J44" i="2" s="1"/>
  <c r="L50" i="2" s="1"/>
  <c r="L62" i="2" s="1"/>
  <c r="I4" i="2"/>
  <c r="I11" i="2" s="1"/>
  <c r="J11" i="2" l="1"/>
  <c r="K11" i="2"/>
  <c r="I22" i="2"/>
  <c r="I33" i="2" s="1"/>
  <c r="I44" i="2"/>
  <c r="K50" i="2" s="1"/>
  <c r="K62" i="2" s="1"/>
  <c r="J22" i="2"/>
  <c r="J33" i="2" s="1"/>
  <c r="K22" i="2"/>
  <c r="K33" i="2" s="1"/>
  <c r="AC6" i="4"/>
  <c r="AD6" i="4"/>
  <c r="AD22" i="4" s="1"/>
  <c r="AE6" i="4"/>
  <c r="AW58" i="4"/>
  <c r="AX58" i="4" s="1"/>
  <c r="AW59" i="4"/>
  <c r="AX59" i="4" s="1"/>
  <c r="AW60" i="4"/>
  <c r="AX60" i="4" s="1"/>
  <c r="AW61" i="4"/>
  <c r="AX61" i="4" s="1"/>
  <c r="AW62" i="4"/>
  <c r="AX62" i="4" s="1"/>
  <c r="AW63" i="4"/>
  <c r="AX63" i="4" s="1"/>
  <c r="AW64" i="4"/>
  <c r="AX64" i="4" s="1"/>
  <c r="AW65" i="4"/>
  <c r="AX65" i="4" s="1"/>
  <c r="AW66" i="4"/>
  <c r="AX66" i="4" s="1"/>
  <c r="AW67" i="4"/>
  <c r="AX67" i="4" s="1"/>
  <c r="AW68" i="4"/>
  <c r="AX68" i="4" s="1"/>
  <c r="AW69" i="4"/>
  <c r="AX69" i="4" s="1"/>
  <c r="AW70" i="4"/>
  <c r="AX70" i="4" s="1"/>
  <c r="AW71" i="4"/>
  <c r="AX71" i="4" s="1"/>
  <c r="AW72" i="4"/>
  <c r="AX72" i="4" s="1"/>
  <c r="AW73" i="4"/>
  <c r="AX73" i="4" s="1"/>
  <c r="AW74" i="4"/>
  <c r="AX74" i="4" s="1"/>
  <c r="AW75" i="4"/>
  <c r="AX75" i="4" s="1"/>
  <c r="AW76" i="4"/>
  <c r="AX76" i="4" s="1"/>
  <c r="AW77" i="4"/>
  <c r="AX77" i="4" s="1"/>
  <c r="AW78" i="4"/>
  <c r="AX78" i="4" s="1"/>
  <c r="AW79" i="4"/>
  <c r="AX79" i="4" s="1"/>
  <c r="AW80" i="4"/>
  <c r="AX80" i="4" s="1"/>
  <c r="AW81" i="4"/>
  <c r="AX81" i="4" s="1"/>
  <c r="AW82" i="4"/>
  <c r="AX82" i="4" s="1"/>
  <c r="AW83" i="4"/>
  <c r="AX83" i="4" s="1"/>
  <c r="AW84" i="4"/>
  <c r="AX84" i="4" s="1"/>
  <c r="AW85" i="4"/>
  <c r="AX85" i="4" s="1"/>
  <c r="AW86" i="4"/>
  <c r="AX86" i="4" s="1"/>
  <c r="AW87" i="4"/>
  <c r="AX87" i="4" s="1"/>
  <c r="AW88" i="4"/>
  <c r="AX88" i="4" s="1"/>
  <c r="AW89" i="4"/>
  <c r="AX89" i="4" s="1"/>
  <c r="AW90" i="4"/>
  <c r="AX90" i="4" s="1"/>
  <c r="AW91" i="4"/>
  <c r="AX91" i="4" s="1"/>
  <c r="AW92" i="4"/>
  <c r="AX92" i="4" s="1"/>
  <c r="AW93" i="4"/>
  <c r="AX93" i="4" s="1"/>
  <c r="AW94" i="4"/>
  <c r="AX94" i="4" s="1"/>
  <c r="AW95" i="4"/>
  <c r="AX95" i="4" s="1"/>
  <c r="AW96" i="4"/>
  <c r="AX96" i="4" s="1"/>
  <c r="AW97" i="4"/>
  <c r="AX97" i="4" s="1"/>
  <c r="AW98" i="4"/>
  <c r="AX98" i="4" s="1"/>
  <c r="AW99" i="4"/>
  <c r="AX99" i="4" s="1"/>
  <c r="AW100" i="4"/>
  <c r="AX100" i="4" s="1"/>
  <c r="AW101" i="4"/>
  <c r="AX101" i="4" s="1"/>
  <c r="AW102" i="4"/>
  <c r="AX102" i="4" s="1"/>
  <c r="AW103" i="4"/>
  <c r="AX103" i="4" s="1"/>
  <c r="AW104" i="4"/>
  <c r="AX104" i="4" s="1"/>
  <c r="AW105" i="4"/>
  <c r="AX105" i="4" s="1"/>
  <c r="AW106" i="4"/>
  <c r="AX106" i="4" s="1"/>
  <c r="AW107" i="4"/>
  <c r="AX107" i="4" s="1"/>
  <c r="AW108" i="4"/>
  <c r="AX108" i="4" s="1"/>
  <c r="AW109" i="4"/>
  <c r="AX109" i="4" s="1"/>
  <c r="AW110" i="4"/>
  <c r="AX110" i="4" s="1"/>
  <c r="AW111" i="4"/>
  <c r="AX111" i="4" s="1"/>
  <c r="AW112" i="4"/>
  <c r="AX112" i="4" s="1"/>
  <c r="AW113" i="4"/>
  <c r="AX113" i="4" s="1"/>
  <c r="AW114" i="4"/>
  <c r="AX114" i="4" s="1"/>
  <c r="AW115" i="4"/>
  <c r="AX115" i="4" s="1"/>
  <c r="AW116" i="4"/>
  <c r="AX116" i="4" s="1"/>
  <c r="AW117" i="4"/>
  <c r="AX117" i="4" s="1"/>
  <c r="AW118" i="4"/>
  <c r="AX118" i="4" s="1"/>
  <c r="AW119" i="4"/>
  <c r="AX119" i="4" s="1"/>
  <c r="AW120" i="4"/>
  <c r="AX120" i="4" s="1"/>
  <c r="AW121" i="4"/>
  <c r="AX121" i="4" s="1"/>
  <c r="AW122" i="4"/>
  <c r="AX122" i="4" s="1"/>
  <c r="AW123" i="4"/>
  <c r="AX123" i="4" s="1"/>
  <c r="AW124" i="4"/>
  <c r="AX124" i="4" s="1"/>
  <c r="AW125" i="4"/>
  <c r="AX125" i="4" s="1"/>
  <c r="AW126" i="4"/>
  <c r="AX126" i="4" s="1"/>
  <c r="AW127" i="4"/>
  <c r="AX127" i="4" s="1"/>
  <c r="AW128" i="4"/>
  <c r="AX128" i="4" s="1"/>
  <c r="AW129" i="4"/>
  <c r="AX129" i="4" s="1"/>
  <c r="AW130" i="4"/>
  <c r="AX130" i="4" s="1"/>
  <c r="AW131" i="4"/>
  <c r="AX131" i="4" s="1"/>
  <c r="AW132" i="4"/>
  <c r="AX132" i="4" s="1"/>
  <c r="AW133" i="4"/>
  <c r="AX133" i="4" s="1"/>
  <c r="AW134" i="4"/>
  <c r="AX134" i="4" s="1"/>
  <c r="AW135" i="4"/>
  <c r="AX135" i="4" s="1"/>
  <c r="AW136" i="4"/>
  <c r="AX136" i="4" s="1"/>
  <c r="AW137" i="4"/>
  <c r="AX137" i="4" s="1"/>
  <c r="AW138" i="4"/>
  <c r="AX138" i="4" s="1"/>
  <c r="AW139" i="4"/>
  <c r="AX139" i="4" s="1"/>
  <c r="AW140" i="4"/>
  <c r="AX140" i="4" s="1"/>
  <c r="AW141" i="4"/>
  <c r="AX141" i="4" s="1"/>
  <c r="AW142" i="4"/>
  <c r="AX142" i="4" s="1"/>
  <c r="AW143" i="4"/>
  <c r="AX143" i="4" s="1"/>
  <c r="AW144" i="4"/>
  <c r="AX144" i="4" s="1"/>
  <c r="AW145" i="4"/>
  <c r="AX145" i="4" s="1"/>
  <c r="AW146" i="4"/>
  <c r="AX146" i="4" s="1"/>
  <c r="AW147" i="4"/>
  <c r="AX147" i="4" s="1"/>
  <c r="AW148" i="4"/>
  <c r="AX148" i="4" s="1"/>
  <c r="AW149" i="4"/>
  <c r="AX149" i="4" s="1"/>
  <c r="AW150" i="4"/>
  <c r="AX150" i="4" s="1"/>
  <c r="AW151" i="4"/>
  <c r="AX151" i="4" s="1"/>
  <c r="AW152" i="4"/>
  <c r="AX152" i="4" s="1"/>
  <c r="AW153" i="4"/>
  <c r="AX153" i="4" s="1"/>
  <c r="AW154" i="4"/>
  <c r="AX154" i="4" s="1"/>
  <c r="AW155" i="4"/>
  <c r="AX155" i="4" s="1"/>
  <c r="AW156" i="4"/>
  <c r="AX156" i="4" s="1"/>
  <c r="AW157" i="4"/>
  <c r="AX157" i="4" s="1"/>
  <c r="AW158" i="4"/>
  <c r="AX158" i="4" s="1"/>
  <c r="AW159" i="4"/>
  <c r="AX159" i="4" s="1"/>
  <c r="AW160" i="4"/>
  <c r="AX160" i="4" s="1"/>
  <c r="AW161" i="4"/>
  <c r="AX161" i="4" s="1"/>
  <c r="AW162" i="4"/>
  <c r="AX162" i="4" s="1"/>
  <c r="AW163" i="4"/>
  <c r="AX163" i="4" s="1"/>
  <c r="AW164" i="4"/>
  <c r="AX164" i="4" s="1"/>
  <c r="AW165" i="4"/>
  <c r="AX165" i="4" s="1"/>
  <c r="AW166" i="4"/>
  <c r="AX166" i="4" s="1"/>
  <c r="AW167" i="4"/>
  <c r="AX167" i="4" s="1"/>
  <c r="AW168" i="4"/>
  <c r="AX168" i="4" s="1"/>
  <c r="AW169" i="4"/>
  <c r="AX169" i="4" s="1"/>
  <c r="AW170" i="4"/>
  <c r="AX170" i="4" s="1"/>
  <c r="AW171" i="4"/>
  <c r="AX171" i="4" s="1"/>
  <c r="AW172" i="4"/>
  <c r="AX172" i="4" s="1"/>
  <c r="AW173" i="4"/>
  <c r="AX173" i="4" s="1"/>
  <c r="AW174" i="4"/>
  <c r="AX174" i="4" s="1"/>
  <c r="AW175" i="4"/>
  <c r="AX175" i="4" s="1"/>
  <c r="AW176" i="4"/>
  <c r="AX176" i="4" s="1"/>
  <c r="AW57" i="4"/>
  <c r="AX57" i="4" s="1"/>
  <c r="O8" i="4" l="1"/>
  <c r="D6" i="5" s="1"/>
  <c r="O7" i="4"/>
  <c r="AC39" i="4"/>
  <c r="AC22" i="4"/>
  <c r="AE39" i="4"/>
  <c r="AE22" i="4"/>
  <c r="AD39" i="4"/>
  <c r="O9" i="4" l="1"/>
  <c r="J31" i="4"/>
  <c r="V58" i="4"/>
  <c r="W58" i="4" s="1"/>
  <c r="V59" i="4"/>
  <c r="W59" i="4" s="1"/>
  <c r="V60" i="4"/>
  <c r="W60" i="4" s="1"/>
  <c r="V61" i="4"/>
  <c r="W61" i="4" s="1"/>
  <c r="V62" i="4"/>
  <c r="W62" i="4" s="1"/>
  <c r="V63" i="4"/>
  <c r="W63" i="4" s="1"/>
  <c r="V64" i="4"/>
  <c r="W64" i="4" s="1"/>
  <c r="V65" i="4"/>
  <c r="W65" i="4" s="1"/>
  <c r="V66" i="4"/>
  <c r="W66" i="4" s="1"/>
  <c r="V67" i="4"/>
  <c r="W67" i="4" s="1"/>
  <c r="V68" i="4"/>
  <c r="W68" i="4" s="1"/>
  <c r="V69" i="4"/>
  <c r="W69" i="4" s="1"/>
  <c r="V70" i="4"/>
  <c r="W70" i="4" s="1"/>
  <c r="V71" i="4"/>
  <c r="W71" i="4" s="1"/>
  <c r="V72" i="4"/>
  <c r="W72" i="4" s="1"/>
  <c r="V73" i="4"/>
  <c r="W73" i="4" s="1"/>
  <c r="V74" i="4"/>
  <c r="W74" i="4" s="1"/>
  <c r="V75" i="4"/>
  <c r="W75" i="4" s="1"/>
  <c r="V76" i="4"/>
  <c r="W76" i="4" s="1"/>
  <c r="V77" i="4"/>
  <c r="W77" i="4" s="1"/>
  <c r="V78" i="4"/>
  <c r="W78" i="4" s="1"/>
  <c r="V79" i="4"/>
  <c r="W79" i="4" s="1"/>
  <c r="V80" i="4"/>
  <c r="W80" i="4" s="1"/>
  <c r="V81" i="4"/>
  <c r="W81" i="4" s="1"/>
  <c r="V82" i="4"/>
  <c r="W82" i="4" s="1"/>
  <c r="V83" i="4"/>
  <c r="W83" i="4" s="1"/>
  <c r="V84" i="4"/>
  <c r="W84" i="4" s="1"/>
  <c r="V85" i="4"/>
  <c r="W85" i="4" s="1"/>
  <c r="V86" i="4"/>
  <c r="W86" i="4" s="1"/>
  <c r="V87" i="4"/>
  <c r="W87" i="4" s="1"/>
  <c r="V88" i="4"/>
  <c r="W88" i="4" s="1"/>
  <c r="V89" i="4"/>
  <c r="W89" i="4" s="1"/>
  <c r="V90" i="4"/>
  <c r="W90" i="4" s="1"/>
  <c r="V91" i="4"/>
  <c r="W91" i="4" s="1"/>
  <c r="V92" i="4"/>
  <c r="W92" i="4" s="1"/>
  <c r="V93" i="4"/>
  <c r="W93" i="4" s="1"/>
  <c r="V94" i="4"/>
  <c r="W94" i="4" s="1"/>
  <c r="V95" i="4"/>
  <c r="W95" i="4" s="1"/>
  <c r="V96" i="4"/>
  <c r="W96" i="4" s="1"/>
  <c r="V97" i="4"/>
  <c r="W97" i="4" s="1"/>
  <c r="V98" i="4"/>
  <c r="W98" i="4" s="1"/>
  <c r="V99" i="4"/>
  <c r="W99" i="4" s="1"/>
  <c r="V100" i="4"/>
  <c r="W100" i="4" s="1"/>
  <c r="V101" i="4"/>
  <c r="W101" i="4" s="1"/>
  <c r="V102" i="4"/>
  <c r="W102" i="4" s="1"/>
  <c r="V103" i="4"/>
  <c r="W103" i="4" s="1"/>
  <c r="V104" i="4"/>
  <c r="W104" i="4" s="1"/>
  <c r="V105" i="4"/>
  <c r="W105" i="4" s="1"/>
  <c r="V106" i="4"/>
  <c r="W106" i="4" s="1"/>
  <c r="V107" i="4"/>
  <c r="W107" i="4" s="1"/>
  <c r="V108" i="4"/>
  <c r="W108" i="4" s="1"/>
  <c r="V109" i="4"/>
  <c r="W109" i="4" s="1"/>
  <c r="V110" i="4"/>
  <c r="W110" i="4" s="1"/>
  <c r="V111" i="4"/>
  <c r="W111" i="4" s="1"/>
  <c r="V112" i="4"/>
  <c r="W112" i="4" s="1"/>
  <c r="V113" i="4"/>
  <c r="W113" i="4" s="1"/>
  <c r="V114" i="4"/>
  <c r="W114" i="4" s="1"/>
  <c r="V115" i="4"/>
  <c r="W115" i="4" s="1"/>
  <c r="V116" i="4"/>
  <c r="W116" i="4" s="1"/>
  <c r="V117" i="4"/>
  <c r="W117" i="4" s="1"/>
  <c r="V118" i="4"/>
  <c r="W118" i="4" s="1"/>
  <c r="V119" i="4"/>
  <c r="W119" i="4" s="1"/>
  <c r="V120" i="4"/>
  <c r="W120" i="4" s="1"/>
  <c r="V121" i="4"/>
  <c r="W121" i="4" s="1"/>
  <c r="V122" i="4"/>
  <c r="W122" i="4" s="1"/>
  <c r="V123" i="4"/>
  <c r="W123" i="4" s="1"/>
  <c r="V124" i="4"/>
  <c r="W124" i="4" s="1"/>
  <c r="V125" i="4"/>
  <c r="W125" i="4" s="1"/>
  <c r="V126" i="4"/>
  <c r="W126" i="4" s="1"/>
  <c r="V127" i="4"/>
  <c r="W127" i="4" s="1"/>
  <c r="V128" i="4"/>
  <c r="W128" i="4" s="1"/>
  <c r="V129" i="4"/>
  <c r="W129" i="4" s="1"/>
  <c r="V130" i="4"/>
  <c r="W130" i="4" s="1"/>
  <c r="V131" i="4"/>
  <c r="W131" i="4" s="1"/>
  <c r="V132" i="4"/>
  <c r="W132" i="4" s="1"/>
  <c r="V133" i="4"/>
  <c r="W133" i="4" s="1"/>
  <c r="V134" i="4"/>
  <c r="W134" i="4" s="1"/>
  <c r="V135" i="4"/>
  <c r="W135" i="4" s="1"/>
  <c r="V136" i="4"/>
  <c r="W136" i="4" s="1"/>
  <c r="V137" i="4"/>
  <c r="W137" i="4" s="1"/>
  <c r="V138" i="4"/>
  <c r="W138" i="4" s="1"/>
  <c r="V139" i="4"/>
  <c r="W139" i="4" s="1"/>
  <c r="V140" i="4"/>
  <c r="W140" i="4" s="1"/>
  <c r="V141" i="4"/>
  <c r="W141" i="4" s="1"/>
  <c r="V142" i="4"/>
  <c r="W142" i="4" s="1"/>
  <c r="V143" i="4"/>
  <c r="W143" i="4" s="1"/>
  <c r="V144" i="4"/>
  <c r="W144" i="4" s="1"/>
  <c r="V145" i="4"/>
  <c r="W145" i="4" s="1"/>
  <c r="V146" i="4"/>
  <c r="W146" i="4" s="1"/>
  <c r="V147" i="4"/>
  <c r="W147" i="4" s="1"/>
  <c r="V148" i="4"/>
  <c r="W148" i="4" s="1"/>
  <c r="V149" i="4"/>
  <c r="W149" i="4" s="1"/>
  <c r="V150" i="4"/>
  <c r="W150" i="4" s="1"/>
  <c r="V151" i="4"/>
  <c r="W151" i="4" s="1"/>
  <c r="V152" i="4"/>
  <c r="W152" i="4" s="1"/>
  <c r="V153" i="4"/>
  <c r="W153" i="4" s="1"/>
  <c r="V154" i="4"/>
  <c r="W154" i="4" s="1"/>
  <c r="V155" i="4"/>
  <c r="W155" i="4" s="1"/>
  <c r="V156" i="4"/>
  <c r="W156" i="4" s="1"/>
  <c r="V157" i="4"/>
  <c r="W157" i="4" s="1"/>
  <c r="V158" i="4"/>
  <c r="W158" i="4" s="1"/>
  <c r="V159" i="4"/>
  <c r="W159" i="4" s="1"/>
  <c r="V160" i="4"/>
  <c r="W160" i="4" s="1"/>
  <c r="V161" i="4"/>
  <c r="W161" i="4" s="1"/>
  <c r="V162" i="4"/>
  <c r="W162" i="4" s="1"/>
  <c r="V163" i="4"/>
  <c r="W163" i="4" s="1"/>
  <c r="V164" i="4"/>
  <c r="W164" i="4" s="1"/>
  <c r="V165" i="4"/>
  <c r="W165" i="4" s="1"/>
  <c r="V166" i="4"/>
  <c r="W166" i="4" s="1"/>
  <c r="V167" i="4"/>
  <c r="W167" i="4" s="1"/>
  <c r="V168" i="4"/>
  <c r="W168" i="4" s="1"/>
  <c r="V169" i="4"/>
  <c r="W169" i="4" s="1"/>
  <c r="V170" i="4"/>
  <c r="W170" i="4" s="1"/>
  <c r="V171" i="4"/>
  <c r="W171" i="4" s="1"/>
  <c r="V172" i="4"/>
  <c r="W172" i="4" s="1"/>
  <c r="V173" i="4"/>
  <c r="W173" i="4" s="1"/>
  <c r="V174" i="4"/>
  <c r="W174" i="4" s="1"/>
  <c r="V175" i="4"/>
  <c r="W175" i="4" s="1"/>
  <c r="V176" i="4"/>
  <c r="W176" i="4" s="1"/>
  <c r="V57" i="4"/>
  <c r="W57" i="4" s="1"/>
  <c r="AP116" i="4"/>
  <c r="AQ116" i="4" s="1"/>
  <c r="AP117" i="4"/>
  <c r="AQ117" i="4" s="1"/>
  <c r="AP118" i="4"/>
  <c r="AQ118" i="4" s="1"/>
  <c r="AP119" i="4"/>
  <c r="AQ119" i="4" s="1"/>
  <c r="AP120" i="4"/>
  <c r="AQ120" i="4" s="1"/>
  <c r="AP121" i="4"/>
  <c r="AQ121" i="4" s="1"/>
  <c r="AP122" i="4"/>
  <c r="AQ122" i="4" s="1"/>
  <c r="AP123" i="4"/>
  <c r="AQ123" i="4" s="1"/>
  <c r="AP124" i="4"/>
  <c r="AQ124" i="4" s="1"/>
  <c r="AP125" i="4"/>
  <c r="AQ125" i="4" s="1"/>
  <c r="AP126" i="4"/>
  <c r="AQ126" i="4" s="1"/>
  <c r="AP127" i="4"/>
  <c r="AQ127" i="4" s="1"/>
  <c r="AP128" i="4"/>
  <c r="AQ128" i="4" s="1"/>
  <c r="AP129" i="4"/>
  <c r="AQ129" i="4" s="1"/>
  <c r="AP130" i="4"/>
  <c r="AQ130" i="4" s="1"/>
  <c r="AP131" i="4"/>
  <c r="AQ131" i="4" s="1"/>
  <c r="AP132" i="4"/>
  <c r="AQ132" i="4" s="1"/>
  <c r="AP133" i="4"/>
  <c r="AQ133" i="4" s="1"/>
  <c r="AP134" i="4"/>
  <c r="AQ134" i="4" s="1"/>
  <c r="AP135" i="4"/>
  <c r="AQ135" i="4" s="1"/>
  <c r="AP136" i="4"/>
  <c r="AQ136" i="4" s="1"/>
  <c r="AP137" i="4"/>
  <c r="AQ137" i="4" s="1"/>
  <c r="AP138" i="4"/>
  <c r="AQ138" i="4" s="1"/>
  <c r="AP139" i="4"/>
  <c r="AQ139" i="4" s="1"/>
  <c r="AP140" i="4"/>
  <c r="AQ140" i="4" s="1"/>
  <c r="AP141" i="4"/>
  <c r="AQ141" i="4" s="1"/>
  <c r="AP142" i="4"/>
  <c r="AQ142" i="4" s="1"/>
  <c r="AP143" i="4"/>
  <c r="AQ143" i="4" s="1"/>
  <c r="AP144" i="4"/>
  <c r="AQ144" i="4" s="1"/>
  <c r="AP145" i="4"/>
  <c r="AQ145" i="4" s="1"/>
  <c r="AP146" i="4"/>
  <c r="AQ146" i="4" s="1"/>
  <c r="AP147" i="4"/>
  <c r="AQ147" i="4" s="1"/>
  <c r="AP148" i="4"/>
  <c r="AQ148" i="4" s="1"/>
  <c r="AP149" i="4"/>
  <c r="AQ149" i="4" s="1"/>
  <c r="AP150" i="4"/>
  <c r="AQ150" i="4" s="1"/>
  <c r="AP151" i="4"/>
  <c r="AQ151" i="4" s="1"/>
  <c r="AP152" i="4"/>
  <c r="AQ152" i="4" s="1"/>
  <c r="AP153" i="4"/>
  <c r="AQ153" i="4" s="1"/>
  <c r="AP154" i="4"/>
  <c r="AQ154" i="4" s="1"/>
  <c r="AP155" i="4"/>
  <c r="AQ155" i="4" s="1"/>
  <c r="AP156" i="4"/>
  <c r="AQ156" i="4" s="1"/>
  <c r="AP157" i="4"/>
  <c r="AQ157" i="4" s="1"/>
  <c r="AP158" i="4"/>
  <c r="AQ158" i="4" s="1"/>
  <c r="AP159" i="4"/>
  <c r="AQ159" i="4" s="1"/>
  <c r="AP160" i="4"/>
  <c r="AQ160" i="4" s="1"/>
  <c r="AP161" i="4"/>
  <c r="AQ161" i="4" s="1"/>
  <c r="AP162" i="4"/>
  <c r="AQ162" i="4" s="1"/>
  <c r="AP163" i="4"/>
  <c r="AQ163" i="4" s="1"/>
  <c r="AP164" i="4"/>
  <c r="AQ164" i="4" s="1"/>
  <c r="AP165" i="4"/>
  <c r="AQ165" i="4" s="1"/>
  <c r="AP166" i="4"/>
  <c r="AQ166" i="4" s="1"/>
  <c r="AP167" i="4"/>
  <c r="AQ167" i="4" s="1"/>
  <c r="AP168" i="4"/>
  <c r="AQ168" i="4" s="1"/>
  <c r="AP169" i="4"/>
  <c r="AQ169" i="4" s="1"/>
  <c r="AP170" i="4"/>
  <c r="AQ170" i="4" s="1"/>
  <c r="AP171" i="4"/>
  <c r="AQ171" i="4" s="1"/>
  <c r="AP172" i="4"/>
  <c r="AQ172" i="4" s="1"/>
  <c r="AP173" i="4"/>
  <c r="AQ173" i="4" s="1"/>
  <c r="AP174" i="4"/>
  <c r="AQ174" i="4" s="1"/>
  <c r="AP175" i="4"/>
  <c r="AQ175" i="4" s="1"/>
  <c r="AP176" i="4"/>
  <c r="AQ176" i="4" s="1"/>
  <c r="AK116" i="4"/>
  <c r="AL116" i="4" s="1"/>
  <c r="AK117" i="4"/>
  <c r="AL117" i="4" s="1"/>
  <c r="AK118" i="4"/>
  <c r="AL118" i="4" s="1"/>
  <c r="AK119" i="4"/>
  <c r="AL119" i="4" s="1"/>
  <c r="AK120" i="4"/>
  <c r="AL120" i="4" s="1"/>
  <c r="AK121" i="4"/>
  <c r="AL121" i="4" s="1"/>
  <c r="AK122" i="4"/>
  <c r="AL122" i="4" s="1"/>
  <c r="AK123" i="4"/>
  <c r="AL123" i="4" s="1"/>
  <c r="AK124" i="4"/>
  <c r="AL124" i="4" s="1"/>
  <c r="AK125" i="4"/>
  <c r="AL125" i="4" s="1"/>
  <c r="AK126" i="4"/>
  <c r="AL126" i="4" s="1"/>
  <c r="AK127" i="4"/>
  <c r="AL127" i="4" s="1"/>
  <c r="AK128" i="4"/>
  <c r="AL128" i="4" s="1"/>
  <c r="AK129" i="4"/>
  <c r="AL129" i="4" s="1"/>
  <c r="AK130" i="4"/>
  <c r="AL130" i="4" s="1"/>
  <c r="AK131" i="4"/>
  <c r="AL131" i="4" s="1"/>
  <c r="AK132" i="4"/>
  <c r="AL132" i="4" s="1"/>
  <c r="AK133" i="4"/>
  <c r="AL133" i="4" s="1"/>
  <c r="AK134" i="4"/>
  <c r="AL134" i="4" s="1"/>
  <c r="AK135" i="4"/>
  <c r="AL135" i="4" s="1"/>
  <c r="AK136" i="4"/>
  <c r="AL136" i="4" s="1"/>
  <c r="AK137" i="4"/>
  <c r="AL137" i="4" s="1"/>
  <c r="AK138" i="4"/>
  <c r="AL138" i="4" s="1"/>
  <c r="AK139" i="4"/>
  <c r="AL139" i="4" s="1"/>
  <c r="AK140" i="4"/>
  <c r="AL140" i="4" s="1"/>
  <c r="AK141" i="4"/>
  <c r="AL141" i="4" s="1"/>
  <c r="AK142" i="4"/>
  <c r="AL142" i="4" s="1"/>
  <c r="AK143" i="4"/>
  <c r="AL143" i="4" s="1"/>
  <c r="AK144" i="4"/>
  <c r="AL144" i="4" s="1"/>
  <c r="AK145" i="4"/>
  <c r="AL145" i="4" s="1"/>
  <c r="AK146" i="4"/>
  <c r="AL146" i="4" s="1"/>
  <c r="AK147" i="4"/>
  <c r="AL147" i="4" s="1"/>
  <c r="AK148" i="4"/>
  <c r="AL148" i="4" s="1"/>
  <c r="AK149" i="4"/>
  <c r="AL149" i="4" s="1"/>
  <c r="AK150" i="4"/>
  <c r="AL150" i="4" s="1"/>
  <c r="AK151" i="4"/>
  <c r="AL151" i="4" s="1"/>
  <c r="AK152" i="4"/>
  <c r="AL152" i="4" s="1"/>
  <c r="AK153" i="4"/>
  <c r="AL153" i="4" s="1"/>
  <c r="AK154" i="4"/>
  <c r="AL154" i="4" s="1"/>
  <c r="AK155" i="4"/>
  <c r="AL155" i="4" s="1"/>
  <c r="AK156" i="4"/>
  <c r="AL156" i="4" s="1"/>
  <c r="AK157" i="4"/>
  <c r="AL157" i="4" s="1"/>
  <c r="AK158" i="4"/>
  <c r="AL158" i="4" s="1"/>
  <c r="AK159" i="4"/>
  <c r="AL159" i="4" s="1"/>
  <c r="AK160" i="4"/>
  <c r="AL160" i="4" s="1"/>
  <c r="AK161" i="4"/>
  <c r="AL161" i="4" s="1"/>
  <c r="AK162" i="4"/>
  <c r="AL162" i="4" s="1"/>
  <c r="AK163" i="4"/>
  <c r="AL163" i="4" s="1"/>
  <c r="AK164" i="4"/>
  <c r="AL164" i="4" s="1"/>
  <c r="AK165" i="4"/>
  <c r="AL165" i="4" s="1"/>
  <c r="AK166" i="4"/>
  <c r="AL166" i="4" s="1"/>
  <c r="AK167" i="4"/>
  <c r="AL167" i="4" s="1"/>
  <c r="AK168" i="4"/>
  <c r="AL168" i="4" s="1"/>
  <c r="AK169" i="4"/>
  <c r="AL169" i="4" s="1"/>
  <c r="AK170" i="4"/>
  <c r="AL170" i="4" s="1"/>
  <c r="AK171" i="4"/>
  <c r="AL171" i="4" s="1"/>
  <c r="AK172" i="4"/>
  <c r="AL172" i="4" s="1"/>
  <c r="AK173" i="4"/>
  <c r="AL173" i="4" s="1"/>
  <c r="AK174" i="4"/>
  <c r="AL174" i="4" s="1"/>
  <c r="AK175" i="4"/>
  <c r="AL175" i="4" s="1"/>
  <c r="AK176" i="4"/>
  <c r="AL176" i="4" s="1"/>
  <c r="AF116" i="4"/>
  <c r="AG116" i="4" s="1"/>
  <c r="AF117" i="4"/>
  <c r="AG117" i="4" s="1"/>
  <c r="AF118" i="4"/>
  <c r="AG118" i="4" s="1"/>
  <c r="AF119" i="4"/>
  <c r="AG119" i="4" s="1"/>
  <c r="AF120" i="4"/>
  <c r="AG120" i="4" s="1"/>
  <c r="AF121" i="4"/>
  <c r="AG121" i="4" s="1"/>
  <c r="AF122" i="4"/>
  <c r="AG122" i="4" s="1"/>
  <c r="AF123" i="4"/>
  <c r="AG123" i="4" s="1"/>
  <c r="AF124" i="4"/>
  <c r="AG124" i="4" s="1"/>
  <c r="AF125" i="4"/>
  <c r="AG125" i="4" s="1"/>
  <c r="AF126" i="4"/>
  <c r="AG126" i="4" s="1"/>
  <c r="AF127" i="4"/>
  <c r="AG127" i="4" s="1"/>
  <c r="AF128" i="4"/>
  <c r="AG128" i="4" s="1"/>
  <c r="AF129" i="4"/>
  <c r="AG129" i="4" s="1"/>
  <c r="AF130" i="4"/>
  <c r="AG130" i="4" s="1"/>
  <c r="AF131" i="4"/>
  <c r="AG131" i="4" s="1"/>
  <c r="AF132" i="4"/>
  <c r="AG132" i="4" s="1"/>
  <c r="AF133" i="4"/>
  <c r="AG133" i="4" s="1"/>
  <c r="AF134" i="4"/>
  <c r="AG134" i="4" s="1"/>
  <c r="AF135" i="4"/>
  <c r="AG135" i="4" s="1"/>
  <c r="AF136" i="4"/>
  <c r="AG136" i="4" s="1"/>
  <c r="AF137" i="4"/>
  <c r="AG137" i="4" s="1"/>
  <c r="AF138" i="4"/>
  <c r="AG138" i="4" s="1"/>
  <c r="AF139" i="4"/>
  <c r="AG139" i="4" s="1"/>
  <c r="AF140" i="4"/>
  <c r="AG140" i="4" s="1"/>
  <c r="AF141" i="4"/>
  <c r="AG141" i="4" s="1"/>
  <c r="AF142" i="4"/>
  <c r="AG142" i="4" s="1"/>
  <c r="AF143" i="4"/>
  <c r="AG143" i="4" s="1"/>
  <c r="AF144" i="4"/>
  <c r="AG144" i="4" s="1"/>
  <c r="AF145" i="4"/>
  <c r="AG145" i="4" s="1"/>
  <c r="AF146" i="4"/>
  <c r="AG146" i="4" s="1"/>
  <c r="AF147" i="4"/>
  <c r="AG147" i="4" s="1"/>
  <c r="AF148" i="4"/>
  <c r="AG148" i="4" s="1"/>
  <c r="AF149" i="4"/>
  <c r="AG149" i="4" s="1"/>
  <c r="AF150" i="4"/>
  <c r="AG150" i="4" s="1"/>
  <c r="AF151" i="4"/>
  <c r="AG151" i="4" s="1"/>
  <c r="AF152" i="4"/>
  <c r="AG152" i="4" s="1"/>
  <c r="AF153" i="4"/>
  <c r="AG153" i="4" s="1"/>
  <c r="AF154" i="4"/>
  <c r="AG154" i="4" s="1"/>
  <c r="AF155" i="4"/>
  <c r="AG155" i="4" s="1"/>
  <c r="AF156" i="4"/>
  <c r="AG156" i="4" s="1"/>
  <c r="AF157" i="4"/>
  <c r="AG157" i="4" s="1"/>
  <c r="AF158" i="4"/>
  <c r="AG158" i="4" s="1"/>
  <c r="AF159" i="4"/>
  <c r="AG159" i="4" s="1"/>
  <c r="AF160" i="4"/>
  <c r="AG160" i="4" s="1"/>
  <c r="AF161" i="4"/>
  <c r="AG161" i="4" s="1"/>
  <c r="AF162" i="4"/>
  <c r="AG162" i="4" s="1"/>
  <c r="AF163" i="4"/>
  <c r="AG163" i="4" s="1"/>
  <c r="AF164" i="4"/>
  <c r="AG164" i="4" s="1"/>
  <c r="AF165" i="4"/>
  <c r="AG165" i="4" s="1"/>
  <c r="AF166" i="4"/>
  <c r="AG166" i="4" s="1"/>
  <c r="AF167" i="4"/>
  <c r="AG167" i="4" s="1"/>
  <c r="AF168" i="4"/>
  <c r="AG168" i="4" s="1"/>
  <c r="AF169" i="4"/>
  <c r="AG169" i="4" s="1"/>
  <c r="AF170" i="4"/>
  <c r="AG170" i="4" s="1"/>
  <c r="AF171" i="4"/>
  <c r="AG171" i="4" s="1"/>
  <c r="AF172" i="4"/>
  <c r="AG172" i="4" s="1"/>
  <c r="AF173" i="4"/>
  <c r="AG173" i="4" s="1"/>
  <c r="AF174" i="4"/>
  <c r="AG174" i="4" s="1"/>
  <c r="AF175" i="4"/>
  <c r="AG175" i="4" s="1"/>
  <c r="AF176" i="4"/>
  <c r="AG176" i="4" s="1"/>
  <c r="AA116" i="4"/>
  <c r="AB116" i="4" s="1"/>
  <c r="AA117" i="4"/>
  <c r="AB117" i="4" s="1"/>
  <c r="AA118" i="4"/>
  <c r="AB118" i="4" s="1"/>
  <c r="AA119" i="4"/>
  <c r="AB119" i="4" s="1"/>
  <c r="AA120" i="4"/>
  <c r="AB120" i="4" s="1"/>
  <c r="AA121" i="4"/>
  <c r="AB121" i="4" s="1"/>
  <c r="AA122" i="4"/>
  <c r="AB122" i="4" s="1"/>
  <c r="AA123" i="4"/>
  <c r="AB123" i="4" s="1"/>
  <c r="AA124" i="4"/>
  <c r="AB124" i="4" s="1"/>
  <c r="AA125" i="4"/>
  <c r="AB125" i="4" s="1"/>
  <c r="AA126" i="4"/>
  <c r="AB126" i="4" s="1"/>
  <c r="AA127" i="4"/>
  <c r="AB127" i="4" s="1"/>
  <c r="AA128" i="4"/>
  <c r="AB128" i="4" s="1"/>
  <c r="AA129" i="4"/>
  <c r="AB129" i="4" s="1"/>
  <c r="AA130" i="4"/>
  <c r="AB130" i="4" s="1"/>
  <c r="AA131" i="4"/>
  <c r="AB131" i="4" s="1"/>
  <c r="AA132" i="4"/>
  <c r="AB132" i="4" s="1"/>
  <c r="AA133" i="4"/>
  <c r="AB133" i="4" s="1"/>
  <c r="AA134" i="4"/>
  <c r="AB134" i="4" s="1"/>
  <c r="AA135" i="4"/>
  <c r="AB135" i="4" s="1"/>
  <c r="AA136" i="4"/>
  <c r="AB136" i="4" s="1"/>
  <c r="AA137" i="4"/>
  <c r="AB137" i="4" s="1"/>
  <c r="AA138" i="4"/>
  <c r="AB138" i="4" s="1"/>
  <c r="AA139" i="4"/>
  <c r="AB139" i="4" s="1"/>
  <c r="AA140" i="4"/>
  <c r="AB140" i="4" s="1"/>
  <c r="AA141" i="4"/>
  <c r="AB141" i="4" s="1"/>
  <c r="AA142" i="4"/>
  <c r="AB142" i="4" s="1"/>
  <c r="AA143" i="4"/>
  <c r="AB143" i="4" s="1"/>
  <c r="AA144" i="4"/>
  <c r="AB144" i="4" s="1"/>
  <c r="AA145" i="4"/>
  <c r="AB145" i="4" s="1"/>
  <c r="AA146" i="4"/>
  <c r="AB146" i="4" s="1"/>
  <c r="AA147" i="4"/>
  <c r="AB147" i="4" s="1"/>
  <c r="AA148" i="4"/>
  <c r="AB148" i="4" s="1"/>
  <c r="AA149" i="4"/>
  <c r="AB149" i="4" s="1"/>
  <c r="AA150" i="4"/>
  <c r="AB150" i="4" s="1"/>
  <c r="AA151" i="4"/>
  <c r="AB151" i="4" s="1"/>
  <c r="AA152" i="4"/>
  <c r="AB152" i="4" s="1"/>
  <c r="AA153" i="4"/>
  <c r="AB153" i="4" s="1"/>
  <c r="AA154" i="4"/>
  <c r="AB154" i="4" s="1"/>
  <c r="AA155" i="4"/>
  <c r="AB155" i="4" s="1"/>
  <c r="AA156" i="4"/>
  <c r="AB156" i="4" s="1"/>
  <c r="AA157" i="4"/>
  <c r="AB157" i="4" s="1"/>
  <c r="AA158" i="4"/>
  <c r="AB158" i="4" s="1"/>
  <c r="AA159" i="4"/>
  <c r="AB159" i="4" s="1"/>
  <c r="AA160" i="4"/>
  <c r="AB160" i="4" s="1"/>
  <c r="AA161" i="4"/>
  <c r="AB161" i="4" s="1"/>
  <c r="AA162" i="4"/>
  <c r="AB162" i="4" s="1"/>
  <c r="AA163" i="4"/>
  <c r="AB163" i="4" s="1"/>
  <c r="AA164" i="4"/>
  <c r="AB164" i="4" s="1"/>
  <c r="AA165" i="4"/>
  <c r="AB165" i="4" s="1"/>
  <c r="AA166" i="4"/>
  <c r="AB166" i="4" s="1"/>
  <c r="AA167" i="4"/>
  <c r="AB167" i="4" s="1"/>
  <c r="AA168" i="4"/>
  <c r="AB168" i="4" s="1"/>
  <c r="AA169" i="4"/>
  <c r="AB169" i="4" s="1"/>
  <c r="AA170" i="4"/>
  <c r="AB170" i="4" s="1"/>
  <c r="AA171" i="4"/>
  <c r="AB171" i="4" s="1"/>
  <c r="AA172" i="4"/>
  <c r="AB172" i="4" s="1"/>
  <c r="AA173" i="4"/>
  <c r="AB173" i="4" s="1"/>
  <c r="AA174" i="4"/>
  <c r="AB174" i="4" s="1"/>
  <c r="AA175" i="4"/>
  <c r="AB175" i="4" s="1"/>
  <c r="AA176" i="4"/>
  <c r="AB176" i="4" s="1"/>
  <c r="Q116" i="4"/>
  <c r="R116" i="4" s="1"/>
  <c r="Q117" i="4"/>
  <c r="R117" i="4" s="1"/>
  <c r="Q118" i="4"/>
  <c r="R118" i="4" s="1"/>
  <c r="Q119" i="4"/>
  <c r="R119" i="4" s="1"/>
  <c r="Q120" i="4"/>
  <c r="R120" i="4" s="1"/>
  <c r="Q121" i="4"/>
  <c r="R121" i="4" s="1"/>
  <c r="Q122" i="4"/>
  <c r="R122" i="4" s="1"/>
  <c r="Q123" i="4"/>
  <c r="R123" i="4" s="1"/>
  <c r="Q124" i="4"/>
  <c r="R124" i="4" s="1"/>
  <c r="Q125" i="4"/>
  <c r="R125" i="4" s="1"/>
  <c r="Q126" i="4"/>
  <c r="R126" i="4" s="1"/>
  <c r="Q127" i="4"/>
  <c r="R127" i="4" s="1"/>
  <c r="Q128" i="4"/>
  <c r="R128" i="4" s="1"/>
  <c r="Q129" i="4"/>
  <c r="R129" i="4" s="1"/>
  <c r="Q130" i="4"/>
  <c r="R130" i="4" s="1"/>
  <c r="Q131" i="4"/>
  <c r="R131" i="4" s="1"/>
  <c r="Q132" i="4"/>
  <c r="R132" i="4" s="1"/>
  <c r="Q133" i="4"/>
  <c r="R133" i="4" s="1"/>
  <c r="Q134" i="4"/>
  <c r="R134" i="4" s="1"/>
  <c r="Q135" i="4"/>
  <c r="R135" i="4" s="1"/>
  <c r="Q136" i="4"/>
  <c r="R136" i="4" s="1"/>
  <c r="Q137" i="4"/>
  <c r="R137" i="4" s="1"/>
  <c r="Q138" i="4"/>
  <c r="R138" i="4" s="1"/>
  <c r="Q139" i="4"/>
  <c r="R139" i="4" s="1"/>
  <c r="Q140" i="4"/>
  <c r="R140" i="4" s="1"/>
  <c r="Q141" i="4"/>
  <c r="R141" i="4" s="1"/>
  <c r="Q142" i="4"/>
  <c r="R142" i="4" s="1"/>
  <c r="Q143" i="4"/>
  <c r="R143" i="4" s="1"/>
  <c r="Q144" i="4"/>
  <c r="R144" i="4" s="1"/>
  <c r="Q145" i="4"/>
  <c r="R145" i="4" s="1"/>
  <c r="Q146" i="4"/>
  <c r="R146" i="4" s="1"/>
  <c r="Q147" i="4"/>
  <c r="R147" i="4" s="1"/>
  <c r="Q148" i="4"/>
  <c r="R148" i="4" s="1"/>
  <c r="Q149" i="4"/>
  <c r="R149" i="4" s="1"/>
  <c r="Q150" i="4"/>
  <c r="R150" i="4" s="1"/>
  <c r="Q151" i="4"/>
  <c r="R151" i="4" s="1"/>
  <c r="Q152" i="4"/>
  <c r="R152" i="4" s="1"/>
  <c r="Q153" i="4"/>
  <c r="R153" i="4" s="1"/>
  <c r="Q154" i="4"/>
  <c r="R154" i="4" s="1"/>
  <c r="Q155" i="4"/>
  <c r="R155" i="4" s="1"/>
  <c r="Q156" i="4"/>
  <c r="R156" i="4" s="1"/>
  <c r="Q157" i="4"/>
  <c r="R157" i="4" s="1"/>
  <c r="Q158" i="4"/>
  <c r="R158" i="4" s="1"/>
  <c r="Q159" i="4"/>
  <c r="R159" i="4" s="1"/>
  <c r="Q160" i="4"/>
  <c r="R160" i="4" s="1"/>
  <c r="Q161" i="4"/>
  <c r="R161" i="4" s="1"/>
  <c r="Q162" i="4"/>
  <c r="R162" i="4" s="1"/>
  <c r="Q163" i="4"/>
  <c r="R163" i="4" s="1"/>
  <c r="Q164" i="4"/>
  <c r="R164" i="4" s="1"/>
  <c r="Q165" i="4"/>
  <c r="R165" i="4" s="1"/>
  <c r="Q166" i="4"/>
  <c r="R166" i="4" s="1"/>
  <c r="Q167" i="4"/>
  <c r="R167" i="4" s="1"/>
  <c r="Q168" i="4"/>
  <c r="R168" i="4" s="1"/>
  <c r="Q169" i="4"/>
  <c r="R169" i="4" s="1"/>
  <c r="Q170" i="4"/>
  <c r="R170" i="4" s="1"/>
  <c r="Q171" i="4"/>
  <c r="R171" i="4" s="1"/>
  <c r="Q172" i="4"/>
  <c r="R172" i="4" s="1"/>
  <c r="Q173" i="4"/>
  <c r="R173" i="4" s="1"/>
  <c r="Q174" i="4"/>
  <c r="R174" i="4" s="1"/>
  <c r="Q175" i="4"/>
  <c r="R175" i="4" s="1"/>
  <c r="Q176" i="4"/>
  <c r="R176" i="4" s="1"/>
  <c r="L116" i="4"/>
  <c r="M116" i="4" s="1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M146" i="4" s="1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D116" i="4"/>
  <c r="E116" i="4" s="1"/>
  <c r="D117" i="4"/>
  <c r="E117" i="4" s="1"/>
  <c r="D118" i="4"/>
  <c r="E118" i="4" s="1"/>
  <c r="D119" i="4"/>
  <c r="E119" i="4" s="1"/>
  <c r="D120" i="4"/>
  <c r="E120" i="4" s="1"/>
  <c r="D121" i="4"/>
  <c r="E121" i="4" s="1"/>
  <c r="D122" i="4"/>
  <c r="E122" i="4" s="1"/>
  <c r="D123" i="4"/>
  <c r="E123" i="4" s="1"/>
  <c r="D124" i="4"/>
  <c r="E124" i="4" s="1"/>
  <c r="D125" i="4"/>
  <c r="E125" i="4" s="1"/>
  <c r="D126" i="4"/>
  <c r="E126" i="4" s="1"/>
  <c r="D127" i="4"/>
  <c r="E127" i="4" s="1"/>
  <c r="D128" i="4"/>
  <c r="E128" i="4" s="1"/>
  <c r="D129" i="4"/>
  <c r="E129" i="4" s="1"/>
  <c r="D130" i="4"/>
  <c r="E130" i="4" s="1"/>
  <c r="D131" i="4"/>
  <c r="E131" i="4" s="1"/>
  <c r="D132" i="4"/>
  <c r="E132" i="4" s="1"/>
  <c r="D133" i="4"/>
  <c r="E133" i="4" s="1"/>
  <c r="D134" i="4"/>
  <c r="E134" i="4" s="1"/>
  <c r="D135" i="4"/>
  <c r="E135" i="4" s="1"/>
  <c r="D136" i="4"/>
  <c r="E136" i="4" s="1"/>
  <c r="D137" i="4"/>
  <c r="E137" i="4" s="1"/>
  <c r="D138" i="4"/>
  <c r="E138" i="4" s="1"/>
  <c r="D139" i="4"/>
  <c r="E139" i="4" s="1"/>
  <c r="D140" i="4"/>
  <c r="E140" i="4" s="1"/>
  <c r="D141" i="4"/>
  <c r="E141" i="4" s="1"/>
  <c r="D142" i="4"/>
  <c r="E142" i="4" s="1"/>
  <c r="D143" i="4"/>
  <c r="E143" i="4" s="1"/>
  <c r="D144" i="4"/>
  <c r="E144" i="4" s="1"/>
  <c r="D145" i="4"/>
  <c r="E145" i="4" s="1"/>
  <c r="D146" i="4"/>
  <c r="E146" i="4" s="1"/>
  <c r="D147" i="4"/>
  <c r="E147" i="4" s="1"/>
  <c r="D148" i="4"/>
  <c r="E148" i="4" s="1"/>
  <c r="D149" i="4"/>
  <c r="E149" i="4" s="1"/>
  <c r="D150" i="4"/>
  <c r="E150" i="4" s="1"/>
  <c r="D151" i="4"/>
  <c r="E151" i="4" s="1"/>
  <c r="D152" i="4"/>
  <c r="E152" i="4" s="1"/>
  <c r="D153" i="4"/>
  <c r="E153" i="4" s="1"/>
  <c r="D154" i="4"/>
  <c r="E154" i="4" s="1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E160" i="4" s="1"/>
  <c r="D161" i="4"/>
  <c r="E161" i="4" s="1"/>
  <c r="D162" i="4"/>
  <c r="E162" i="4" s="1"/>
  <c r="D163" i="4"/>
  <c r="E163" i="4" s="1"/>
  <c r="D164" i="4"/>
  <c r="E164" i="4" s="1"/>
  <c r="D165" i="4"/>
  <c r="E165" i="4" s="1"/>
  <c r="D166" i="4"/>
  <c r="E166" i="4" s="1"/>
  <c r="D167" i="4"/>
  <c r="E167" i="4" s="1"/>
  <c r="D168" i="4"/>
  <c r="E168" i="4" s="1"/>
  <c r="D169" i="4"/>
  <c r="E169" i="4" s="1"/>
  <c r="D170" i="4"/>
  <c r="E170" i="4" s="1"/>
  <c r="D171" i="4"/>
  <c r="E171" i="4" s="1"/>
  <c r="D172" i="4"/>
  <c r="E172" i="4" s="1"/>
  <c r="D173" i="4"/>
  <c r="E173" i="4" s="1"/>
  <c r="D174" i="4"/>
  <c r="E174" i="4" s="1"/>
  <c r="D175" i="4"/>
  <c r="E175" i="4" s="1"/>
  <c r="D176" i="4"/>
  <c r="E176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J8" i="4" l="1"/>
  <c r="AA27" i="4" s="1"/>
  <c r="J7" i="4"/>
  <c r="H31" i="4"/>
  <c r="I31" i="4"/>
  <c r="K31" i="4"/>
  <c r="L31" i="4"/>
  <c r="M31" i="4"/>
  <c r="N31" i="4"/>
  <c r="G31" i="4"/>
  <c r="J9" i="4" l="1"/>
  <c r="Q58" i="4"/>
  <c r="R58" i="4" s="1"/>
  <c r="Q59" i="4"/>
  <c r="R59" i="4" s="1"/>
  <c r="Q60" i="4"/>
  <c r="R60" i="4" s="1"/>
  <c r="Q61" i="4"/>
  <c r="R61" i="4" s="1"/>
  <c r="Q62" i="4"/>
  <c r="R62" i="4" s="1"/>
  <c r="Q63" i="4"/>
  <c r="R63" i="4" s="1"/>
  <c r="Q64" i="4"/>
  <c r="R64" i="4" s="1"/>
  <c r="Q65" i="4"/>
  <c r="R65" i="4" s="1"/>
  <c r="Q66" i="4"/>
  <c r="R66" i="4" s="1"/>
  <c r="Q67" i="4"/>
  <c r="R67" i="4" s="1"/>
  <c r="Q68" i="4"/>
  <c r="R68" i="4" s="1"/>
  <c r="Q69" i="4"/>
  <c r="R69" i="4" s="1"/>
  <c r="Q70" i="4"/>
  <c r="R70" i="4" s="1"/>
  <c r="Q71" i="4"/>
  <c r="R71" i="4" s="1"/>
  <c r="Q72" i="4"/>
  <c r="R72" i="4" s="1"/>
  <c r="Q73" i="4"/>
  <c r="R73" i="4" s="1"/>
  <c r="Q74" i="4"/>
  <c r="R74" i="4" s="1"/>
  <c r="Q75" i="4"/>
  <c r="R75" i="4" s="1"/>
  <c r="Q76" i="4"/>
  <c r="R76" i="4" s="1"/>
  <c r="Q77" i="4"/>
  <c r="R77" i="4" s="1"/>
  <c r="Q78" i="4"/>
  <c r="R78" i="4" s="1"/>
  <c r="Q79" i="4"/>
  <c r="R79" i="4" s="1"/>
  <c r="Q80" i="4"/>
  <c r="R80" i="4" s="1"/>
  <c r="Q81" i="4"/>
  <c r="R81" i="4" s="1"/>
  <c r="Q82" i="4"/>
  <c r="R82" i="4" s="1"/>
  <c r="Q83" i="4"/>
  <c r="R83" i="4" s="1"/>
  <c r="Q84" i="4"/>
  <c r="R84" i="4" s="1"/>
  <c r="Q85" i="4"/>
  <c r="R85" i="4" s="1"/>
  <c r="Q86" i="4"/>
  <c r="R86" i="4" s="1"/>
  <c r="Q87" i="4"/>
  <c r="R87" i="4" s="1"/>
  <c r="Q88" i="4"/>
  <c r="R88" i="4" s="1"/>
  <c r="Q89" i="4"/>
  <c r="R89" i="4" s="1"/>
  <c r="Q90" i="4"/>
  <c r="R90" i="4" s="1"/>
  <c r="Q91" i="4"/>
  <c r="R91" i="4" s="1"/>
  <c r="Q92" i="4"/>
  <c r="R92" i="4" s="1"/>
  <c r="Q93" i="4"/>
  <c r="R93" i="4" s="1"/>
  <c r="Q94" i="4"/>
  <c r="R94" i="4" s="1"/>
  <c r="Q95" i="4"/>
  <c r="R95" i="4" s="1"/>
  <c r="Q96" i="4"/>
  <c r="R96" i="4" s="1"/>
  <c r="Q97" i="4"/>
  <c r="R97" i="4" s="1"/>
  <c r="Q98" i="4"/>
  <c r="R98" i="4" s="1"/>
  <c r="Q99" i="4"/>
  <c r="R99" i="4" s="1"/>
  <c r="Q100" i="4"/>
  <c r="R100" i="4" s="1"/>
  <c r="Q101" i="4"/>
  <c r="R101" i="4" s="1"/>
  <c r="Q102" i="4"/>
  <c r="R102" i="4" s="1"/>
  <c r="Q103" i="4"/>
  <c r="R103" i="4" s="1"/>
  <c r="Q104" i="4"/>
  <c r="R104" i="4" s="1"/>
  <c r="Q105" i="4"/>
  <c r="R105" i="4" s="1"/>
  <c r="Q106" i="4"/>
  <c r="R106" i="4" s="1"/>
  <c r="Q107" i="4"/>
  <c r="R107" i="4" s="1"/>
  <c r="Q108" i="4"/>
  <c r="R108" i="4" s="1"/>
  <c r="Q109" i="4"/>
  <c r="R109" i="4" s="1"/>
  <c r="Q110" i="4"/>
  <c r="R110" i="4" s="1"/>
  <c r="Q111" i="4"/>
  <c r="R111" i="4" s="1"/>
  <c r="Q112" i="4"/>
  <c r="R112" i="4" s="1"/>
  <c r="Q113" i="4"/>
  <c r="R113" i="4" s="1"/>
  <c r="Q114" i="4"/>
  <c r="R114" i="4" s="1"/>
  <c r="Q115" i="4"/>
  <c r="R115" i="4" s="1"/>
  <c r="Q57" i="4"/>
  <c r="R57" i="4" s="1"/>
  <c r="AP115" i="4"/>
  <c r="AQ115" i="4" s="1"/>
  <c r="AP114" i="4"/>
  <c r="AQ114" i="4" s="1"/>
  <c r="AP113" i="4"/>
  <c r="AQ113" i="4" s="1"/>
  <c r="AP112" i="4"/>
  <c r="AQ112" i="4" s="1"/>
  <c r="AP111" i="4"/>
  <c r="AQ111" i="4" s="1"/>
  <c r="AP110" i="4"/>
  <c r="AQ110" i="4" s="1"/>
  <c r="AP109" i="4"/>
  <c r="AQ109" i="4" s="1"/>
  <c r="AP108" i="4"/>
  <c r="AQ108" i="4" s="1"/>
  <c r="AP107" i="4"/>
  <c r="AQ107" i="4" s="1"/>
  <c r="AP106" i="4"/>
  <c r="AQ106" i="4" s="1"/>
  <c r="AP105" i="4"/>
  <c r="AQ105" i="4" s="1"/>
  <c r="AP104" i="4"/>
  <c r="AQ104" i="4" s="1"/>
  <c r="AP103" i="4"/>
  <c r="AQ103" i="4" s="1"/>
  <c r="AP102" i="4"/>
  <c r="AQ102" i="4" s="1"/>
  <c r="AP101" i="4"/>
  <c r="AQ101" i="4" s="1"/>
  <c r="AP100" i="4"/>
  <c r="AQ100" i="4" s="1"/>
  <c r="AP99" i="4"/>
  <c r="AQ99" i="4" s="1"/>
  <c r="AP98" i="4"/>
  <c r="AQ98" i="4" s="1"/>
  <c r="AP97" i="4"/>
  <c r="AQ97" i="4" s="1"/>
  <c r="AP96" i="4"/>
  <c r="AQ96" i="4" s="1"/>
  <c r="AP95" i="4"/>
  <c r="AQ95" i="4" s="1"/>
  <c r="AP94" i="4"/>
  <c r="AQ94" i="4" s="1"/>
  <c r="AP93" i="4"/>
  <c r="AQ93" i="4" s="1"/>
  <c r="AP92" i="4"/>
  <c r="AQ92" i="4" s="1"/>
  <c r="AP91" i="4"/>
  <c r="AQ91" i="4" s="1"/>
  <c r="AP90" i="4"/>
  <c r="AQ90" i="4" s="1"/>
  <c r="AP89" i="4"/>
  <c r="AQ89" i="4" s="1"/>
  <c r="AP88" i="4"/>
  <c r="AQ88" i="4" s="1"/>
  <c r="AP87" i="4"/>
  <c r="AQ87" i="4" s="1"/>
  <c r="AP86" i="4"/>
  <c r="AQ86" i="4" s="1"/>
  <c r="AP85" i="4"/>
  <c r="AQ85" i="4" s="1"/>
  <c r="AP84" i="4"/>
  <c r="AQ84" i="4" s="1"/>
  <c r="AP83" i="4"/>
  <c r="AQ83" i="4" s="1"/>
  <c r="AP82" i="4"/>
  <c r="AQ82" i="4" s="1"/>
  <c r="AP81" i="4"/>
  <c r="AQ81" i="4" s="1"/>
  <c r="AP80" i="4"/>
  <c r="AQ80" i="4" s="1"/>
  <c r="AP79" i="4"/>
  <c r="AQ79" i="4" s="1"/>
  <c r="AP78" i="4"/>
  <c r="AQ78" i="4" s="1"/>
  <c r="AP77" i="4"/>
  <c r="AQ77" i="4" s="1"/>
  <c r="AP76" i="4"/>
  <c r="AQ76" i="4" s="1"/>
  <c r="AP75" i="4"/>
  <c r="AQ75" i="4" s="1"/>
  <c r="AP74" i="4"/>
  <c r="AQ74" i="4" s="1"/>
  <c r="AP73" i="4"/>
  <c r="AQ73" i="4" s="1"/>
  <c r="AP72" i="4"/>
  <c r="AQ72" i="4" s="1"/>
  <c r="AP71" i="4"/>
  <c r="AQ71" i="4" s="1"/>
  <c r="AP70" i="4"/>
  <c r="AQ70" i="4" s="1"/>
  <c r="AP69" i="4"/>
  <c r="AQ69" i="4" s="1"/>
  <c r="AP68" i="4"/>
  <c r="AQ68" i="4" s="1"/>
  <c r="AP67" i="4"/>
  <c r="AQ67" i="4" s="1"/>
  <c r="AP66" i="4"/>
  <c r="AQ66" i="4" s="1"/>
  <c r="AP65" i="4"/>
  <c r="AQ65" i="4" s="1"/>
  <c r="AP64" i="4"/>
  <c r="AQ64" i="4" s="1"/>
  <c r="AP63" i="4"/>
  <c r="AQ63" i="4" s="1"/>
  <c r="AP62" i="4"/>
  <c r="AQ62" i="4" s="1"/>
  <c r="AP61" i="4"/>
  <c r="AQ61" i="4" s="1"/>
  <c r="AP60" i="4"/>
  <c r="AQ60" i="4" s="1"/>
  <c r="AP59" i="4"/>
  <c r="AQ59" i="4" s="1"/>
  <c r="AP58" i="4"/>
  <c r="AQ58" i="4" s="1"/>
  <c r="AP57" i="4"/>
  <c r="AQ57" i="4" s="1"/>
  <c r="AK115" i="4"/>
  <c r="AL115" i="4" s="1"/>
  <c r="AK114" i="4"/>
  <c r="AL114" i="4" s="1"/>
  <c r="AK113" i="4"/>
  <c r="AL113" i="4" s="1"/>
  <c r="AK112" i="4"/>
  <c r="AL112" i="4" s="1"/>
  <c r="AK111" i="4"/>
  <c r="AL111" i="4" s="1"/>
  <c r="AK110" i="4"/>
  <c r="AL110" i="4" s="1"/>
  <c r="AK109" i="4"/>
  <c r="AL109" i="4" s="1"/>
  <c r="AK108" i="4"/>
  <c r="AL108" i="4" s="1"/>
  <c r="AK107" i="4"/>
  <c r="AL107" i="4" s="1"/>
  <c r="AK106" i="4"/>
  <c r="AL106" i="4" s="1"/>
  <c r="AK105" i="4"/>
  <c r="AL105" i="4" s="1"/>
  <c r="AK104" i="4"/>
  <c r="AL104" i="4" s="1"/>
  <c r="AK103" i="4"/>
  <c r="AL103" i="4" s="1"/>
  <c r="AK102" i="4"/>
  <c r="AL102" i="4" s="1"/>
  <c r="AK101" i="4"/>
  <c r="AL101" i="4" s="1"/>
  <c r="AK100" i="4"/>
  <c r="AL100" i="4" s="1"/>
  <c r="AK99" i="4"/>
  <c r="AL99" i="4" s="1"/>
  <c r="AK98" i="4"/>
  <c r="AL98" i="4" s="1"/>
  <c r="AK97" i="4"/>
  <c r="AL97" i="4" s="1"/>
  <c r="AK96" i="4"/>
  <c r="AL96" i="4" s="1"/>
  <c r="AK95" i="4"/>
  <c r="AL95" i="4" s="1"/>
  <c r="AK94" i="4"/>
  <c r="AL94" i="4" s="1"/>
  <c r="AK93" i="4"/>
  <c r="AL93" i="4" s="1"/>
  <c r="AK92" i="4"/>
  <c r="AL92" i="4" s="1"/>
  <c r="AK91" i="4"/>
  <c r="AL91" i="4" s="1"/>
  <c r="AK90" i="4"/>
  <c r="AL90" i="4" s="1"/>
  <c r="AK89" i="4"/>
  <c r="AL89" i="4" s="1"/>
  <c r="AK88" i="4"/>
  <c r="AL88" i="4" s="1"/>
  <c r="AK87" i="4"/>
  <c r="AL87" i="4" s="1"/>
  <c r="AK86" i="4"/>
  <c r="AL86" i="4" s="1"/>
  <c r="AK85" i="4"/>
  <c r="AL85" i="4" s="1"/>
  <c r="AK84" i="4"/>
  <c r="AL84" i="4" s="1"/>
  <c r="AK83" i="4"/>
  <c r="AL83" i="4" s="1"/>
  <c r="AK82" i="4"/>
  <c r="AL82" i="4" s="1"/>
  <c r="AK81" i="4"/>
  <c r="AL81" i="4" s="1"/>
  <c r="AK80" i="4"/>
  <c r="AL80" i="4" s="1"/>
  <c r="AK79" i="4"/>
  <c r="AL79" i="4" s="1"/>
  <c r="AK78" i="4"/>
  <c r="AL78" i="4" s="1"/>
  <c r="AK77" i="4"/>
  <c r="AL77" i="4" s="1"/>
  <c r="AK76" i="4"/>
  <c r="AL76" i="4" s="1"/>
  <c r="AK75" i="4"/>
  <c r="AL75" i="4" s="1"/>
  <c r="AK74" i="4"/>
  <c r="AL74" i="4" s="1"/>
  <c r="AK73" i="4"/>
  <c r="AL73" i="4" s="1"/>
  <c r="AK72" i="4"/>
  <c r="AL72" i="4" s="1"/>
  <c r="AK71" i="4"/>
  <c r="AL71" i="4" s="1"/>
  <c r="AK70" i="4"/>
  <c r="AL70" i="4" s="1"/>
  <c r="AK69" i="4"/>
  <c r="AL69" i="4" s="1"/>
  <c r="AK68" i="4"/>
  <c r="AL68" i="4" s="1"/>
  <c r="AK67" i="4"/>
  <c r="AL67" i="4" s="1"/>
  <c r="AK66" i="4"/>
  <c r="AL66" i="4" s="1"/>
  <c r="AK65" i="4"/>
  <c r="AL65" i="4" s="1"/>
  <c r="AK64" i="4"/>
  <c r="AL64" i="4" s="1"/>
  <c r="AK63" i="4"/>
  <c r="AL63" i="4" s="1"/>
  <c r="AK62" i="4"/>
  <c r="AL62" i="4" s="1"/>
  <c r="AK61" i="4"/>
  <c r="AL61" i="4" s="1"/>
  <c r="AK60" i="4"/>
  <c r="AL60" i="4" s="1"/>
  <c r="AK59" i="4"/>
  <c r="AL59" i="4" s="1"/>
  <c r="AK58" i="4"/>
  <c r="AL58" i="4" s="1"/>
  <c r="AF115" i="4"/>
  <c r="AG115" i="4" s="1"/>
  <c r="AF114" i="4"/>
  <c r="AG114" i="4" s="1"/>
  <c r="AF113" i="4"/>
  <c r="AG113" i="4" s="1"/>
  <c r="AF112" i="4"/>
  <c r="AG112" i="4" s="1"/>
  <c r="AF111" i="4"/>
  <c r="AG111" i="4" s="1"/>
  <c r="AF110" i="4"/>
  <c r="AG110" i="4" s="1"/>
  <c r="AF109" i="4"/>
  <c r="AG109" i="4" s="1"/>
  <c r="AF108" i="4"/>
  <c r="AG108" i="4" s="1"/>
  <c r="AF107" i="4"/>
  <c r="AG107" i="4" s="1"/>
  <c r="AF106" i="4"/>
  <c r="AG106" i="4" s="1"/>
  <c r="AF105" i="4"/>
  <c r="AG105" i="4" s="1"/>
  <c r="AF104" i="4"/>
  <c r="AG104" i="4" s="1"/>
  <c r="AF103" i="4"/>
  <c r="AG103" i="4" s="1"/>
  <c r="AF102" i="4"/>
  <c r="AG102" i="4" s="1"/>
  <c r="AF101" i="4"/>
  <c r="AG101" i="4" s="1"/>
  <c r="AF100" i="4"/>
  <c r="AG100" i="4" s="1"/>
  <c r="AF99" i="4"/>
  <c r="AG99" i="4" s="1"/>
  <c r="AF98" i="4"/>
  <c r="AG98" i="4" s="1"/>
  <c r="AF97" i="4"/>
  <c r="AG97" i="4" s="1"/>
  <c r="AF96" i="4"/>
  <c r="AG96" i="4" s="1"/>
  <c r="AF95" i="4"/>
  <c r="AG95" i="4" s="1"/>
  <c r="AF94" i="4"/>
  <c r="AG94" i="4" s="1"/>
  <c r="AF93" i="4"/>
  <c r="AG93" i="4" s="1"/>
  <c r="AF92" i="4"/>
  <c r="AG92" i="4" s="1"/>
  <c r="AF91" i="4"/>
  <c r="AG91" i="4" s="1"/>
  <c r="AF90" i="4"/>
  <c r="AG90" i="4" s="1"/>
  <c r="AF89" i="4"/>
  <c r="AG89" i="4" s="1"/>
  <c r="AF88" i="4"/>
  <c r="AG88" i="4" s="1"/>
  <c r="AF87" i="4"/>
  <c r="AG87" i="4" s="1"/>
  <c r="AF86" i="4"/>
  <c r="AG86" i="4" s="1"/>
  <c r="AF85" i="4"/>
  <c r="AG85" i="4" s="1"/>
  <c r="AF84" i="4"/>
  <c r="AG84" i="4" s="1"/>
  <c r="AF83" i="4"/>
  <c r="AG83" i="4" s="1"/>
  <c r="AF82" i="4"/>
  <c r="AG82" i="4" s="1"/>
  <c r="AF81" i="4"/>
  <c r="AG81" i="4" s="1"/>
  <c r="AF80" i="4"/>
  <c r="AG80" i="4" s="1"/>
  <c r="AF79" i="4"/>
  <c r="AG79" i="4" s="1"/>
  <c r="AF78" i="4"/>
  <c r="AG78" i="4" s="1"/>
  <c r="AF77" i="4"/>
  <c r="AG77" i="4" s="1"/>
  <c r="AF76" i="4"/>
  <c r="AG76" i="4" s="1"/>
  <c r="AF75" i="4"/>
  <c r="AG75" i="4" s="1"/>
  <c r="AF74" i="4"/>
  <c r="AG74" i="4" s="1"/>
  <c r="AF73" i="4"/>
  <c r="AG73" i="4" s="1"/>
  <c r="AF72" i="4"/>
  <c r="AG72" i="4" s="1"/>
  <c r="AF71" i="4"/>
  <c r="AG71" i="4" s="1"/>
  <c r="AF70" i="4"/>
  <c r="AG70" i="4" s="1"/>
  <c r="AF69" i="4"/>
  <c r="AG69" i="4" s="1"/>
  <c r="AF68" i="4"/>
  <c r="AG68" i="4" s="1"/>
  <c r="AF67" i="4"/>
  <c r="AG67" i="4" s="1"/>
  <c r="AF66" i="4"/>
  <c r="AG66" i="4" s="1"/>
  <c r="AF65" i="4"/>
  <c r="AG65" i="4" s="1"/>
  <c r="AF64" i="4"/>
  <c r="AG64" i="4" s="1"/>
  <c r="AF63" i="4"/>
  <c r="AG63" i="4" s="1"/>
  <c r="AF62" i="4"/>
  <c r="AG62" i="4" s="1"/>
  <c r="AF61" i="4"/>
  <c r="AG61" i="4" s="1"/>
  <c r="AF60" i="4"/>
  <c r="AG60" i="4" s="1"/>
  <c r="AF59" i="4"/>
  <c r="AG59" i="4" s="1"/>
  <c r="AF58" i="4"/>
  <c r="AG58" i="4" s="1"/>
  <c r="AF57" i="4"/>
  <c r="AG57" i="4" s="1"/>
  <c r="AA115" i="4"/>
  <c r="AB115" i="4" s="1"/>
  <c r="AA114" i="4"/>
  <c r="AB114" i="4" s="1"/>
  <c r="AA113" i="4"/>
  <c r="AB113" i="4" s="1"/>
  <c r="AA112" i="4"/>
  <c r="AB112" i="4" s="1"/>
  <c r="AA111" i="4"/>
  <c r="AB111" i="4" s="1"/>
  <c r="AA110" i="4"/>
  <c r="AB110" i="4" s="1"/>
  <c r="AA109" i="4"/>
  <c r="AB109" i="4" s="1"/>
  <c r="AA108" i="4"/>
  <c r="AB108" i="4" s="1"/>
  <c r="AA107" i="4"/>
  <c r="AB107" i="4" s="1"/>
  <c r="AA106" i="4"/>
  <c r="AB106" i="4" s="1"/>
  <c r="AA105" i="4"/>
  <c r="AB105" i="4" s="1"/>
  <c r="AA104" i="4"/>
  <c r="AB104" i="4" s="1"/>
  <c r="AA103" i="4"/>
  <c r="AB103" i="4" s="1"/>
  <c r="AA102" i="4"/>
  <c r="AB102" i="4" s="1"/>
  <c r="AA101" i="4"/>
  <c r="AB101" i="4" s="1"/>
  <c r="AA100" i="4"/>
  <c r="AB100" i="4" s="1"/>
  <c r="AA99" i="4"/>
  <c r="AB99" i="4" s="1"/>
  <c r="AA98" i="4"/>
  <c r="AB98" i="4" s="1"/>
  <c r="AA97" i="4"/>
  <c r="AB97" i="4" s="1"/>
  <c r="AA96" i="4"/>
  <c r="AB96" i="4" s="1"/>
  <c r="AA95" i="4"/>
  <c r="AB95" i="4" s="1"/>
  <c r="AA94" i="4"/>
  <c r="AB94" i="4" s="1"/>
  <c r="AA93" i="4"/>
  <c r="AB93" i="4" s="1"/>
  <c r="AA92" i="4"/>
  <c r="AB92" i="4" s="1"/>
  <c r="AA91" i="4"/>
  <c r="AB91" i="4" s="1"/>
  <c r="AA90" i="4"/>
  <c r="AB90" i="4" s="1"/>
  <c r="AA89" i="4"/>
  <c r="AB89" i="4" s="1"/>
  <c r="AA88" i="4"/>
  <c r="AB88" i="4" s="1"/>
  <c r="AA87" i="4"/>
  <c r="AB87" i="4" s="1"/>
  <c r="AA86" i="4"/>
  <c r="AB86" i="4" s="1"/>
  <c r="AA85" i="4"/>
  <c r="AB85" i="4" s="1"/>
  <c r="AA84" i="4"/>
  <c r="AB84" i="4" s="1"/>
  <c r="AA83" i="4"/>
  <c r="AB83" i="4" s="1"/>
  <c r="AA82" i="4"/>
  <c r="AB82" i="4" s="1"/>
  <c r="AA81" i="4"/>
  <c r="AB81" i="4" s="1"/>
  <c r="AA80" i="4"/>
  <c r="AB80" i="4" s="1"/>
  <c r="AA79" i="4"/>
  <c r="AB79" i="4" s="1"/>
  <c r="AA78" i="4"/>
  <c r="AB78" i="4" s="1"/>
  <c r="AA77" i="4"/>
  <c r="AB77" i="4" s="1"/>
  <c r="AA76" i="4"/>
  <c r="AB76" i="4" s="1"/>
  <c r="AA75" i="4"/>
  <c r="AB75" i="4" s="1"/>
  <c r="AA74" i="4"/>
  <c r="AB74" i="4" s="1"/>
  <c r="AA73" i="4"/>
  <c r="AB73" i="4" s="1"/>
  <c r="AA72" i="4"/>
  <c r="AB72" i="4" s="1"/>
  <c r="AA71" i="4"/>
  <c r="AB71" i="4" s="1"/>
  <c r="AA70" i="4"/>
  <c r="AB70" i="4" s="1"/>
  <c r="AA69" i="4"/>
  <c r="AB69" i="4" s="1"/>
  <c r="AA68" i="4"/>
  <c r="AB68" i="4" s="1"/>
  <c r="AA67" i="4"/>
  <c r="AB67" i="4" s="1"/>
  <c r="AA66" i="4"/>
  <c r="AB66" i="4" s="1"/>
  <c r="AA65" i="4"/>
  <c r="AB65" i="4" s="1"/>
  <c r="AA64" i="4"/>
  <c r="AB64" i="4" s="1"/>
  <c r="AA63" i="4"/>
  <c r="AB63" i="4" s="1"/>
  <c r="AA62" i="4"/>
  <c r="AB62" i="4" s="1"/>
  <c r="AA61" i="4"/>
  <c r="AB61" i="4" s="1"/>
  <c r="AA60" i="4"/>
  <c r="AB60" i="4" s="1"/>
  <c r="AA59" i="4"/>
  <c r="AB59" i="4" s="1"/>
  <c r="AA58" i="4"/>
  <c r="AB58" i="4" s="1"/>
  <c r="AA57" i="4"/>
  <c r="AB57" i="4" s="1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L93" i="4"/>
  <c r="M93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57" i="4"/>
  <c r="H57" i="4" s="1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E80" i="4" s="1"/>
  <c r="D81" i="4"/>
  <c r="E81" i="4" s="1"/>
  <c r="D82" i="4"/>
  <c r="E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D99" i="4"/>
  <c r="E99" i="4" s="1"/>
  <c r="D100" i="4"/>
  <c r="E100" i="4" s="1"/>
  <c r="D101" i="4"/>
  <c r="E101" i="4" s="1"/>
  <c r="D102" i="4"/>
  <c r="E102" i="4" s="1"/>
  <c r="D103" i="4"/>
  <c r="E103" i="4" s="1"/>
  <c r="D104" i="4"/>
  <c r="E104" i="4" s="1"/>
  <c r="D105" i="4"/>
  <c r="E105" i="4" s="1"/>
  <c r="D106" i="4"/>
  <c r="E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E112" i="4" s="1"/>
  <c r="D113" i="4"/>
  <c r="E113" i="4" s="1"/>
  <c r="D114" i="4"/>
  <c r="E114" i="4" s="1"/>
  <c r="D115" i="4"/>
  <c r="E115" i="4" s="1"/>
  <c r="E57" i="4"/>
  <c r="P18" i="4" l="1"/>
  <c r="K13" i="4"/>
  <c r="L12" i="4"/>
  <c r="K12" i="4"/>
  <c r="M12" i="4"/>
  <c r="I12" i="4"/>
  <c r="H12" i="4"/>
  <c r="J12" i="4"/>
  <c r="N12" i="4"/>
  <c r="G12" i="4"/>
  <c r="H7" i="4"/>
  <c r="H13" i="4"/>
  <c r="H14" i="4" s="1"/>
  <c r="H17" i="4"/>
  <c r="H18" i="4"/>
  <c r="H8" i="4"/>
  <c r="Y25" i="4" s="1"/>
  <c r="N13" i="4"/>
  <c r="N17" i="4"/>
  <c r="AR75" i="4" s="1"/>
  <c r="N8" i="4"/>
  <c r="N18" i="4"/>
  <c r="N7" i="4"/>
  <c r="F7" i="4"/>
  <c r="C47" i="2" s="1"/>
  <c r="F8" i="4"/>
  <c r="W23" i="4" s="1"/>
  <c r="J18" i="4"/>
  <c r="J13" i="4"/>
  <c r="J17" i="4"/>
  <c r="J15" i="4" s="1"/>
  <c r="G8" i="4"/>
  <c r="X24" i="4" s="1"/>
  <c r="G7" i="4"/>
  <c r="G13" i="4"/>
  <c r="G14" i="4" s="1"/>
  <c r="G17" i="4"/>
  <c r="W24" i="4" s="1"/>
  <c r="G18" i="4"/>
  <c r="M7" i="4"/>
  <c r="M13" i="4"/>
  <c r="M17" i="4"/>
  <c r="AM59" i="4" s="1"/>
  <c r="M18" i="4"/>
  <c r="M19" i="4" s="1"/>
  <c r="M20" i="4" s="1"/>
  <c r="M8" i="4"/>
  <c r="X108" i="4"/>
  <c r="AR91" i="4"/>
  <c r="L8" i="4"/>
  <c r="L7" i="4"/>
  <c r="L13" i="4"/>
  <c r="L17" i="4"/>
  <c r="AH106" i="4" s="1"/>
  <c r="L18" i="4"/>
  <c r="I13" i="4"/>
  <c r="I14" i="4" s="1"/>
  <c r="I17" i="4"/>
  <c r="I8" i="4"/>
  <c r="Z26" i="4" s="1"/>
  <c r="I18" i="4"/>
  <c r="I7" i="4"/>
  <c r="AH110" i="4"/>
  <c r="AH102" i="4"/>
  <c r="AM102" i="4"/>
  <c r="AH94" i="4"/>
  <c r="AH90" i="4"/>
  <c r="AR86" i="4"/>
  <c r="AM74" i="4"/>
  <c r="AH62" i="4"/>
  <c r="AM58" i="4"/>
  <c r="AH58" i="4"/>
  <c r="K7" i="4"/>
  <c r="K18" i="4"/>
  <c r="K8" i="4"/>
  <c r="K14" i="4"/>
  <c r="K17" i="4"/>
  <c r="X87" i="4"/>
  <c r="H19" i="4"/>
  <c r="H20" i="4" s="1"/>
  <c r="C16" i="7"/>
  <c r="C6" i="5" s="1"/>
  <c r="K15" i="4" l="1"/>
  <c r="AH66" i="4"/>
  <c r="AM82" i="4"/>
  <c r="AM94" i="4"/>
  <c r="M15" i="4"/>
  <c r="G15" i="4"/>
  <c r="H15" i="4"/>
  <c r="AM78" i="4"/>
  <c r="AM90" i="4"/>
  <c r="AM70" i="4"/>
  <c r="AM106" i="4"/>
  <c r="I15" i="4"/>
  <c r="L15" i="4"/>
  <c r="N15" i="4"/>
  <c r="AR107" i="4"/>
  <c r="AR64" i="4"/>
  <c r="X26" i="4"/>
  <c r="W26" i="4"/>
  <c r="AR59" i="4"/>
  <c r="AR96" i="4"/>
  <c r="Y26" i="4"/>
  <c r="W25" i="4"/>
  <c r="X25" i="4"/>
  <c r="Y27" i="4"/>
  <c r="Z27" i="4"/>
  <c r="W27" i="4"/>
  <c r="X27" i="4"/>
  <c r="H5" i="2"/>
  <c r="H46" i="2"/>
  <c r="AR112" i="4"/>
  <c r="K46" i="2"/>
  <c r="K5" i="2"/>
  <c r="E46" i="2"/>
  <c r="E5" i="2"/>
  <c r="AR62" i="4"/>
  <c r="AR70" i="4"/>
  <c r="AR78" i="4"/>
  <c r="AR106" i="4"/>
  <c r="AR63" i="4"/>
  <c r="AR79" i="4"/>
  <c r="AR95" i="4"/>
  <c r="AR111" i="4"/>
  <c r="AD30" i="4"/>
  <c r="J30" i="2" s="1"/>
  <c r="J6" i="2"/>
  <c r="AR76" i="4"/>
  <c r="AR100" i="4"/>
  <c r="AR94" i="4"/>
  <c r="AR102" i="4"/>
  <c r="AC29" i="4"/>
  <c r="I29" i="2" s="1"/>
  <c r="I6" i="2"/>
  <c r="AR67" i="4"/>
  <c r="AR83" i="4"/>
  <c r="AR99" i="4"/>
  <c r="AR115" i="4"/>
  <c r="AR80" i="4"/>
  <c r="AR108" i="4"/>
  <c r="S101" i="4"/>
  <c r="F46" i="2"/>
  <c r="F5" i="2"/>
  <c r="AR58" i="4"/>
  <c r="AR66" i="4"/>
  <c r="AR74" i="4"/>
  <c r="AR82" i="4"/>
  <c r="AR90" i="4"/>
  <c r="AR98" i="4"/>
  <c r="AR110" i="4"/>
  <c r="AS110" i="4" s="1"/>
  <c r="AH78" i="4"/>
  <c r="I5" i="2"/>
  <c r="I46" i="2"/>
  <c r="AR71" i="4"/>
  <c r="AS71" i="4" s="1"/>
  <c r="AR87" i="4"/>
  <c r="AR103" i="4"/>
  <c r="AR109" i="4"/>
  <c r="AM110" i="4"/>
  <c r="J46" i="2"/>
  <c r="J5" i="2"/>
  <c r="D5" i="2"/>
  <c r="D46" i="2"/>
  <c r="AR60" i="4"/>
  <c r="AR84" i="4"/>
  <c r="G5" i="2"/>
  <c r="G46" i="2"/>
  <c r="AE31" i="4"/>
  <c r="K31" i="2" s="1"/>
  <c r="K6" i="2"/>
  <c r="AM62" i="4"/>
  <c r="AM66" i="4"/>
  <c r="AH74" i="4"/>
  <c r="AM86" i="4"/>
  <c r="AM98" i="4"/>
  <c r="AR68" i="4"/>
  <c r="AR92" i="4"/>
  <c r="AR57" i="4"/>
  <c r="K19" i="4"/>
  <c r="K20" i="4" s="1"/>
  <c r="AB14" i="4"/>
  <c r="H19" i="2" s="1"/>
  <c r="AB15" i="4"/>
  <c r="H20" i="2" s="1"/>
  <c r="AB13" i="4"/>
  <c r="H18" i="2" s="1"/>
  <c r="W12" i="4"/>
  <c r="C17" i="2" s="1"/>
  <c r="X86" i="4"/>
  <c r="Y86" i="4" s="1"/>
  <c r="N19" i="4"/>
  <c r="N20" i="4" s="1"/>
  <c r="W15" i="4"/>
  <c r="C20" i="2" s="1"/>
  <c r="I19" i="4"/>
  <c r="I20" i="4" s="1"/>
  <c r="Z14" i="4"/>
  <c r="F19" i="2" s="1"/>
  <c r="Z15" i="4"/>
  <c r="F20" i="2" s="1"/>
  <c r="Z13" i="4"/>
  <c r="F18" i="2" s="1"/>
  <c r="L19" i="4"/>
  <c r="L20" i="4" s="1"/>
  <c r="AC14" i="4"/>
  <c r="I19" i="2" s="1"/>
  <c r="AC15" i="4"/>
  <c r="I20" i="2" s="1"/>
  <c r="W13" i="4"/>
  <c r="C18" i="2" s="1"/>
  <c r="AD15" i="4"/>
  <c r="J20" i="2" s="1"/>
  <c r="W14" i="4"/>
  <c r="C19" i="2" s="1"/>
  <c r="G19" i="4"/>
  <c r="G20" i="4" s="1"/>
  <c r="X15" i="4"/>
  <c r="D20" i="2" s="1"/>
  <c r="X11" i="4"/>
  <c r="X13" i="4"/>
  <c r="D18" i="2" s="1"/>
  <c r="X14" i="4"/>
  <c r="D19" i="2" s="1"/>
  <c r="X10" i="4"/>
  <c r="X9" i="4"/>
  <c r="X12" i="4"/>
  <c r="D17" i="2" s="1"/>
  <c r="AR72" i="4"/>
  <c r="AS72" i="4" s="1"/>
  <c r="AR88" i="4"/>
  <c r="AS88" i="4" s="1"/>
  <c r="AR104" i="4"/>
  <c r="AS104" i="4" s="1"/>
  <c r="Y15" i="4"/>
  <c r="E20" i="2" s="1"/>
  <c r="Y13" i="4"/>
  <c r="E18" i="2" s="1"/>
  <c r="Y14" i="4"/>
  <c r="E19" i="2" s="1"/>
  <c r="Y10" i="4"/>
  <c r="AC105" i="4"/>
  <c r="AD105" i="4" s="1"/>
  <c r="X104" i="4"/>
  <c r="Y104" i="4" s="1"/>
  <c r="AH105" i="4"/>
  <c r="AM93" i="4"/>
  <c r="AN93" i="4" s="1"/>
  <c r="J19" i="4"/>
  <c r="J20" i="4" s="1"/>
  <c r="AA13" i="4"/>
  <c r="G18" i="2" s="1"/>
  <c r="AA15" i="4"/>
  <c r="G20" i="2" s="1"/>
  <c r="AA14" i="4"/>
  <c r="G19" i="2" s="1"/>
  <c r="AR101" i="4"/>
  <c r="AS101" i="4" s="1"/>
  <c r="AH70" i="4"/>
  <c r="AH86" i="4"/>
  <c r="AI86" i="4" s="1"/>
  <c r="AI58" i="4"/>
  <c r="AI62" i="4"/>
  <c r="AI74" i="4"/>
  <c r="AI78" i="4"/>
  <c r="AI106" i="4"/>
  <c r="AI110" i="4"/>
  <c r="AI90" i="4"/>
  <c r="AI94" i="4"/>
  <c r="AS68" i="4"/>
  <c r="AI66" i="4"/>
  <c r="Y87" i="4"/>
  <c r="AH82" i="4"/>
  <c r="AI82" i="4" s="1"/>
  <c r="AH98" i="4"/>
  <c r="AI98" i="4" s="1"/>
  <c r="AS64" i="4"/>
  <c r="AS80" i="4"/>
  <c r="AS96" i="4"/>
  <c r="AS112" i="4"/>
  <c r="AS100" i="4"/>
  <c r="AS63" i="4"/>
  <c r="AS79" i="4"/>
  <c r="AS95" i="4"/>
  <c r="X105" i="4"/>
  <c r="AI70" i="4"/>
  <c r="X84" i="4"/>
  <c r="Y84" i="4" s="1"/>
  <c r="X112" i="4"/>
  <c r="Y112" i="4" s="1"/>
  <c r="X71" i="4"/>
  <c r="Y71" i="4" s="1"/>
  <c r="X61" i="4"/>
  <c r="Y61" i="4" s="1"/>
  <c r="AS84" i="4"/>
  <c r="AS66" i="4"/>
  <c r="AS82" i="4"/>
  <c r="AS98" i="4"/>
  <c r="X95" i="4"/>
  <c r="Y95" i="4" s="1"/>
  <c r="X72" i="4"/>
  <c r="AS62" i="4"/>
  <c r="AS78" i="4"/>
  <c r="AS94" i="4"/>
  <c r="X77" i="4"/>
  <c r="Y77" i="4" s="1"/>
  <c r="AS109" i="4"/>
  <c r="X103" i="4"/>
  <c r="X96" i="4"/>
  <c r="Y96" i="4" s="1"/>
  <c r="X97" i="4"/>
  <c r="AS107" i="4"/>
  <c r="X65" i="4"/>
  <c r="Y65" i="4" s="1"/>
  <c r="AM103" i="4"/>
  <c r="AN103" i="4" s="1"/>
  <c r="AM109" i="4"/>
  <c r="AN109" i="4" s="1"/>
  <c r="AN74" i="4"/>
  <c r="AN86" i="4"/>
  <c r="AN90" i="4"/>
  <c r="AN102" i="4"/>
  <c r="AN106" i="4"/>
  <c r="AS67" i="4"/>
  <c r="AS83" i="4"/>
  <c r="AS99" i="4"/>
  <c r="AS111" i="4"/>
  <c r="X76" i="4"/>
  <c r="Y76" i="4" s="1"/>
  <c r="X80" i="4"/>
  <c r="X67" i="4"/>
  <c r="Y67" i="4" s="1"/>
  <c r="X57" i="4"/>
  <c r="Y57" i="4" s="1"/>
  <c r="X88" i="4"/>
  <c r="Y88" i="4" s="1"/>
  <c r="X75" i="4"/>
  <c r="Y75" i="4" s="1"/>
  <c r="AS108" i="4"/>
  <c r="AS92" i="4"/>
  <c r="AS76" i="4"/>
  <c r="AS60" i="4"/>
  <c r="AS58" i="4"/>
  <c r="AN70" i="4"/>
  <c r="AS74" i="4"/>
  <c r="AN82" i="4"/>
  <c r="AS90" i="4"/>
  <c r="AN98" i="4"/>
  <c r="AS106" i="4"/>
  <c r="X73" i="4"/>
  <c r="Y73" i="4" s="1"/>
  <c r="X60" i="4"/>
  <c r="Y60" i="4" s="1"/>
  <c r="X114" i="4"/>
  <c r="Y114" i="4" s="1"/>
  <c r="AN59" i="4"/>
  <c r="AS87" i="4"/>
  <c r="AS115" i="4"/>
  <c r="X64" i="4"/>
  <c r="Y64" i="4" s="1"/>
  <c r="X92" i="4"/>
  <c r="Y92" i="4" s="1"/>
  <c r="AN58" i="4"/>
  <c r="AN62" i="4"/>
  <c r="AN66" i="4"/>
  <c r="AS70" i="4"/>
  <c r="AN78" i="4"/>
  <c r="AS86" i="4"/>
  <c r="AN94" i="4"/>
  <c r="AS102" i="4"/>
  <c r="AN110" i="4"/>
  <c r="X89" i="4"/>
  <c r="Y89" i="4" s="1"/>
  <c r="X111" i="4"/>
  <c r="Y111" i="4" s="1"/>
  <c r="AS59" i="4"/>
  <c r="AS75" i="4"/>
  <c r="AS91" i="4"/>
  <c r="AS103" i="4"/>
  <c r="X113" i="4"/>
  <c r="X100" i="4"/>
  <c r="Y100" i="4" s="1"/>
  <c r="AR113" i="4"/>
  <c r="AS113" i="4" s="1"/>
  <c r="X81" i="4"/>
  <c r="AI102" i="4"/>
  <c r="AM87" i="4"/>
  <c r="AN87" i="4" s="1"/>
  <c r="AM67" i="4"/>
  <c r="AN67" i="4" s="1"/>
  <c r="AM75" i="4"/>
  <c r="AN75" i="4" s="1"/>
  <c r="AM79" i="4"/>
  <c r="AN79" i="4" s="1"/>
  <c r="AH95" i="4"/>
  <c r="AI95" i="4" s="1"/>
  <c r="AH111" i="4"/>
  <c r="AI111" i="4" s="1"/>
  <c r="F12" i="4"/>
  <c r="F11" i="4"/>
  <c r="AH63" i="4"/>
  <c r="AI63" i="4" s="1"/>
  <c r="AH75" i="4"/>
  <c r="AI75" i="4" s="1"/>
  <c r="AH91" i="4"/>
  <c r="AI91" i="4" s="1"/>
  <c r="AH107" i="4"/>
  <c r="F9" i="4"/>
  <c r="X85" i="4"/>
  <c r="Y85" i="4" s="1"/>
  <c r="S58" i="4"/>
  <c r="T58" i="4" s="1"/>
  <c r="S62" i="4"/>
  <c r="T62" i="4" s="1"/>
  <c r="S66" i="4"/>
  <c r="S70" i="4"/>
  <c r="T70" i="4" s="1"/>
  <c r="S74" i="4"/>
  <c r="S78" i="4"/>
  <c r="T78" i="4" s="1"/>
  <c r="S82" i="4"/>
  <c r="T82" i="4" s="1"/>
  <c r="S86" i="4"/>
  <c r="T86" i="4" s="1"/>
  <c r="S90" i="4"/>
  <c r="S94" i="4"/>
  <c r="T94" i="4" s="1"/>
  <c r="S98" i="4"/>
  <c r="T98" i="4" s="1"/>
  <c r="S102" i="4"/>
  <c r="T102" i="4" s="1"/>
  <c r="S106" i="4"/>
  <c r="S110" i="4"/>
  <c r="T110" i="4" s="1"/>
  <c r="AH59" i="4"/>
  <c r="AI59" i="4" s="1"/>
  <c r="AM63" i="4"/>
  <c r="AN63" i="4" s="1"/>
  <c r="AM71" i="4"/>
  <c r="AN71" i="4" s="1"/>
  <c r="AM91" i="4"/>
  <c r="AN91" i="4" s="1"/>
  <c r="AM107" i="4"/>
  <c r="AN107" i="4" s="1"/>
  <c r="AH79" i="4"/>
  <c r="AS57" i="4"/>
  <c r="AC62" i="4"/>
  <c r="AD62" i="4" s="1"/>
  <c r="AC78" i="4"/>
  <c r="AD78" i="4" s="1"/>
  <c r="AC94" i="4"/>
  <c r="AD94" i="4" s="1"/>
  <c r="AC110" i="4"/>
  <c r="AD110" i="4" s="1"/>
  <c r="S59" i="4"/>
  <c r="T59" i="4" s="1"/>
  <c r="AC71" i="4"/>
  <c r="AD71" i="4" s="1"/>
  <c r="S75" i="4"/>
  <c r="T75" i="4" s="1"/>
  <c r="AM83" i="4"/>
  <c r="AN83" i="4" s="1"/>
  <c r="AC87" i="4"/>
  <c r="AD87" i="4" s="1"/>
  <c r="S91" i="4"/>
  <c r="T91" i="4" s="1"/>
  <c r="AM95" i="4"/>
  <c r="AN95" i="4" s="1"/>
  <c r="AM99" i="4"/>
  <c r="AN99" i="4" s="1"/>
  <c r="AC103" i="4"/>
  <c r="AD103" i="4" s="1"/>
  <c r="S107" i="4"/>
  <c r="T107" i="4" s="1"/>
  <c r="AM111" i="4"/>
  <c r="AN111" i="4" s="1"/>
  <c r="AM115" i="4"/>
  <c r="AN115" i="4" s="1"/>
  <c r="S109" i="4"/>
  <c r="T109" i="4" s="1"/>
  <c r="M14" i="4"/>
  <c r="I58" i="4"/>
  <c r="J58" i="4" s="1"/>
  <c r="I62" i="4"/>
  <c r="J62" i="4" s="1"/>
  <c r="I66" i="4"/>
  <c r="J66" i="4" s="1"/>
  <c r="I70" i="4"/>
  <c r="J70" i="4" s="1"/>
  <c r="I74" i="4"/>
  <c r="J74" i="4" s="1"/>
  <c r="I78" i="4"/>
  <c r="J78" i="4" s="1"/>
  <c r="I82" i="4"/>
  <c r="J82" i="4" s="1"/>
  <c r="I86" i="4"/>
  <c r="J86" i="4" s="1"/>
  <c r="I90" i="4"/>
  <c r="J90" i="4" s="1"/>
  <c r="I94" i="4"/>
  <c r="J94" i="4" s="1"/>
  <c r="I98" i="4"/>
  <c r="J98" i="4" s="1"/>
  <c r="I102" i="4"/>
  <c r="J102" i="4" s="1"/>
  <c r="I106" i="4"/>
  <c r="J106" i="4" s="1"/>
  <c r="I110" i="4"/>
  <c r="J110" i="4" s="1"/>
  <c r="I114" i="4"/>
  <c r="J114" i="4" s="1"/>
  <c r="I118" i="4"/>
  <c r="J118" i="4" s="1"/>
  <c r="I122" i="4"/>
  <c r="J122" i="4" s="1"/>
  <c r="I126" i="4"/>
  <c r="J126" i="4" s="1"/>
  <c r="I130" i="4"/>
  <c r="J130" i="4" s="1"/>
  <c r="I134" i="4"/>
  <c r="J134" i="4" s="1"/>
  <c r="I138" i="4"/>
  <c r="J138" i="4" s="1"/>
  <c r="I142" i="4"/>
  <c r="J142" i="4" s="1"/>
  <c r="I146" i="4"/>
  <c r="I150" i="4"/>
  <c r="J150" i="4" s="1"/>
  <c r="I154" i="4"/>
  <c r="J154" i="4" s="1"/>
  <c r="I158" i="4"/>
  <c r="J158" i="4" s="1"/>
  <c r="I162" i="4"/>
  <c r="J162" i="4" s="1"/>
  <c r="I166" i="4"/>
  <c r="J166" i="4" s="1"/>
  <c r="I170" i="4"/>
  <c r="J170" i="4" s="1"/>
  <c r="I174" i="4"/>
  <c r="J174" i="4" s="1"/>
  <c r="I59" i="4"/>
  <c r="J59" i="4" s="1"/>
  <c r="I63" i="4"/>
  <c r="J63" i="4" s="1"/>
  <c r="I67" i="4"/>
  <c r="J67" i="4" s="1"/>
  <c r="I71" i="4"/>
  <c r="J71" i="4" s="1"/>
  <c r="I75" i="4"/>
  <c r="J75" i="4" s="1"/>
  <c r="I79" i="4"/>
  <c r="J79" i="4" s="1"/>
  <c r="I83" i="4"/>
  <c r="J83" i="4" s="1"/>
  <c r="I87" i="4"/>
  <c r="J87" i="4" s="1"/>
  <c r="I91" i="4"/>
  <c r="J91" i="4" s="1"/>
  <c r="I95" i="4"/>
  <c r="J95" i="4" s="1"/>
  <c r="I99" i="4"/>
  <c r="J99" i="4" s="1"/>
  <c r="I103" i="4"/>
  <c r="J103" i="4" s="1"/>
  <c r="I107" i="4"/>
  <c r="J107" i="4" s="1"/>
  <c r="I111" i="4"/>
  <c r="J111" i="4" s="1"/>
  <c r="I115" i="4"/>
  <c r="J115" i="4" s="1"/>
  <c r="I119" i="4"/>
  <c r="J119" i="4" s="1"/>
  <c r="I123" i="4"/>
  <c r="J123" i="4" s="1"/>
  <c r="I127" i="4"/>
  <c r="J127" i="4" s="1"/>
  <c r="I131" i="4"/>
  <c r="J131" i="4" s="1"/>
  <c r="I135" i="4"/>
  <c r="J135" i="4" s="1"/>
  <c r="I139" i="4"/>
  <c r="I143" i="4"/>
  <c r="J143" i="4" s="1"/>
  <c r="I147" i="4"/>
  <c r="J147" i="4" s="1"/>
  <c r="I151" i="4"/>
  <c r="J151" i="4" s="1"/>
  <c r="I155" i="4"/>
  <c r="J155" i="4" s="1"/>
  <c r="I159" i="4"/>
  <c r="J159" i="4" s="1"/>
  <c r="I163" i="4"/>
  <c r="J163" i="4" s="1"/>
  <c r="I167" i="4"/>
  <c r="J167" i="4" s="1"/>
  <c r="I171" i="4"/>
  <c r="I175" i="4"/>
  <c r="J175" i="4" s="1"/>
  <c r="I60" i="4"/>
  <c r="J60" i="4" s="1"/>
  <c r="I64" i="4"/>
  <c r="J64" i="4" s="1"/>
  <c r="I68" i="4"/>
  <c r="J68" i="4" s="1"/>
  <c r="I72" i="4"/>
  <c r="J72" i="4" s="1"/>
  <c r="I76" i="4"/>
  <c r="J76" i="4" s="1"/>
  <c r="I80" i="4"/>
  <c r="J80" i="4" s="1"/>
  <c r="I84" i="4"/>
  <c r="J84" i="4" s="1"/>
  <c r="I88" i="4"/>
  <c r="J88" i="4" s="1"/>
  <c r="I92" i="4"/>
  <c r="J92" i="4" s="1"/>
  <c r="I96" i="4"/>
  <c r="J96" i="4" s="1"/>
  <c r="I100" i="4"/>
  <c r="J100" i="4" s="1"/>
  <c r="I104" i="4"/>
  <c r="J104" i="4" s="1"/>
  <c r="I108" i="4"/>
  <c r="J108" i="4" s="1"/>
  <c r="I112" i="4"/>
  <c r="J112" i="4" s="1"/>
  <c r="I116" i="4"/>
  <c r="J116" i="4" s="1"/>
  <c r="I120" i="4"/>
  <c r="J120" i="4" s="1"/>
  <c r="I124" i="4"/>
  <c r="J124" i="4" s="1"/>
  <c r="I128" i="4"/>
  <c r="J128" i="4" s="1"/>
  <c r="I132" i="4"/>
  <c r="J132" i="4" s="1"/>
  <c r="I136" i="4"/>
  <c r="J136" i="4" s="1"/>
  <c r="I140" i="4"/>
  <c r="J140" i="4" s="1"/>
  <c r="I144" i="4"/>
  <c r="J144" i="4" s="1"/>
  <c r="I148" i="4"/>
  <c r="J148" i="4" s="1"/>
  <c r="I152" i="4"/>
  <c r="I156" i="4"/>
  <c r="J156" i="4" s="1"/>
  <c r="I160" i="4"/>
  <c r="J160" i="4" s="1"/>
  <c r="I164" i="4"/>
  <c r="J164" i="4" s="1"/>
  <c r="I168" i="4"/>
  <c r="J168" i="4" s="1"/>
  <c r="I172" i="4"/>
  <c r="J172" i="4" s="1"/>
  <c r="I176" i="4"/>
  <c r="J176" i="4" s="1"/>
  <c r="I61" i="4"/>
  <c r="J61" i="4" s="1"/>
  <c r="I65" i="4"/>
  <c r="J65" i="4" s="1"/>
  <c r="I69" i="4"/>
  <c r="J69" i="4" s="1"/>
  <c r="I73" i="4"/>
  <c r="J73" i="4" s="1"/>
  <c r="I77" i="4"/>
  <c r="J77" i="4" s="1"/>
  <c r="I81" i="4"/>
  <c r="I85" i="4"/>
  <c r="J85" i="4" s="1"/>
  <c r="I89" i="4"/>
  <c r="J89" i="4" s="1"/>
  <c r="I93" i="4"/>
  <c r="J93" i="4" s="1"/>
  <c r="I97" i="4"/>
  <c r="I101" i="4"/>
  <c r="J101" i="4" s="1"/>
  <c r="I105" i="4"/>
  <c r="J105" i="4" s="1"/>
  <c r="I109" i="4"/>
  <c r="J109" i="4" s="1"/>
  <c r="I113" i="4"/>
  <c r="J113" i="4" s="1"/>
  <c r="I117" i="4"/>
  <c r="J117" i="4" s="1"/>
  <c r="I121" i="4"/>
  <c r="J121" i="4" s="1"/>
  <c r="I125" i="4"/>
  <c r="J125" i="4" s="1"/>
  <c r="I129" i="4"/>
  <c r="J129" i="4" s="1"/>
  <c r="I133" i="4"/>
  <c r="J133" i="4" s="1"/>
  <c r="I137" i="4"/>
  <c r="J137" i="4" s="1"/>
  <c r="I141" i="4"/>
  <c r="J141" i="4" s="1"/>
  <c r="I145" i="4"/>
  <c r="J145" i="4" s="1"/>
  <c r="I149" i="4"/>
  <c r="J149" i="4" s="1"/>
  <c r="I153" i="4"/>
  <c r="J153" i="4" s="1"/>
  <c r="I157" i="4"/>
  <c r="J157" i="4" s="1"/>
  <c r="I161" i="4"/>
  <c r="J161" i="4" s="1"/>
  <c r="I165" i="4"/>
  <c r="J165" i="4" s="1"/>
  <c r="I169" i="4"/>
  <c r="J169" i="4" s="1"/>
  <c r="I173" i="4"/>
  <c r="I57" i="4"/>
  <c r="AC60" i="4"/>
  <c r="AD60" i="4" s="1"/>
  <c r="AM64" i="4"/>
  <c r="AN64" i="4" s="1"/>
  <c r="AH68" i="4"/>
  <c r="AI68" i="4" s="1"/>
  <c r="AC72" i="4"/>
  <c r="AD72" i="4" s="1"/>
  <c r="S76" i="4"/>
  <c r="T76" i="4" s="1"/>
  <c r="AM80" i="4"/>
  <c r="AN80" i="4" s="1"/>
  <c r="AH84" i="4"/>
  <c r="AI84" i="4" s="1"/>
  <c r="AC88" i="4"/>
  <c r="AD88" i="4" s="1"/>
  <c r="S92" i="4"/>
  <c r="T92" i="4" s="1"/>
  <c r="AM96" i="4"/>
  <c r="AN96" i="4" s="1"/>
  <c r="AH100" i="4"/>
  <c r="AC104" i="4"/>
  <c r="AD104" i="4" s="1"/>
  <c r="S108" i="4"/>
  <c r="T108" i="4" s="1"/>
  <c r="AM112" i="4"/>
  <c r="AN112" i="4" s="1"/>
  <c r="AH57" i="4"/>
  <c r="AI57" i="4" s="1"/>
  <c r="AH113" i="4"/>
  <c r="X93" i="4"/>
  <c r="Y93" i="4" s="1"/>
  <c r="AI79" i="4"/>
  <c r="S61" i="4"/>
  <c r="T61" i="4" s="1"/>
  <c r="AC65" i="4"/>
  <c r="AD65" i="4" s="1"/>
  <c r="AR65" i="4"/>
  <c r="AS65" i="4" s="1"/>
  <c r="AM69" i="4"/>
  <c r="AN69" i="4" s="1"/>
  <c r="AH73" i="4"/>
  <c r="AI73" i="4" s="1"/>
  <c r="S77" i="4"/>
  <c r="T77" i="4" s="1"/>
  <c r="AC81" i="4"/>
  <c r="AD81" i="4" s="1"/>
  <c r="AR81" i="4"/>
  <c r="AS81" i="4" s="1"/>
  <c r="AM85" i="4"/>
  <c r="AN85" i="4" s="1"/>
  <c r="AH89" i="4"/>
  <c r="AI89" i="4" s="1"/>
  <c r="S93" i="4"/>
  <c r="T93" i="4" s="1"/>
  <c r="AC97" i="4"/>
  <c r="AD97" i="4" s="1"/>
  <c r="AR97" i="4"/>
  <c r="AS97" i="4" s="1"/>
  <c r="AM101" i="4"/>
  <c r="AN101" i="4" s="1"/>
  <c r="AC114" i="4"/>
  <c r="AD114" i="4" s="1"/>
  <c r="X59" i="4"/>
  <c r="Y59" i="4" s="1"/>
  <c r="X91" i="4"/>
  <c r="Y91" i="4" s="1"/>
  <c r="X74" i="4"/>
  <c r="X109" i="4"/>
  <c r="X102" i="4"/>
  <c r="Y102" i="4" s="1"/>
  <c r="X70" i="4"/>
  <c r="Y70" i="4" s="1"/>
  <c r="AC66" i="4"/>
  <c r="AD66" i="4" s="1"/>
  <c r="AC82" i="4"/>
  <c r="AD82" i="4" s="1"/>
  <c r="AC98" i="4"/>
  <c r="AD98" i="4" s="1"/>
  <c r="AI105" i="4"/>
  <c r="AH168" i="4"/>
  <c r="AH161" i="4"/>
  <c r="AI161" i="4" s="1"/>
  <c r="AH143" i="4"/>
  <c r="AI143" i="4" s="1"/>
  <c r="AH123" i="4"/>
  <c r="AH167" i="4"/>
  <c r="AH153" i="4"/>
  <c r="AI153" i="4" s="1"/>
  <c r="AH146" i="4"/>
  <c r="AI146" i="4" s="1"/>
  <c r="AH142" i="4"/>
  <c r="AI142" i="4" s="1"/>
  <c r="AH135" i="4"/>
  <c r="AH149" i="4"/>
  <c r="AI149" i="4" s="1"/>
  <c r="AH128" i="4"/>
  <c r="AI128" i="4" s="1"/>
  <c r="AH141" i="4"/>
  <c r="AH120" i="4"/>
  <c r="AH130" i="4"/>
  <c r="AI130" i="4" s="1"/>
  <c r="AH174" i="4"/>
  <c r="AI174" i="4" s="1"/>
  <c r="AH171" i="4"/>
  <c r="AI171" i="4" s="1"/>
  <c r="AH154" i="4"/>
  <c r="AH140" i="4"/>
  <c r="AI140" i="4" s="1"/>
  <c r="AH164" i="4"/>
  <c r="AI164" i="4" s="1"/>
  <c r="AH132" i="4"/>
  <c r="AI132" i="4" s="1"/>
  <c r="AH176" i="4"/>
  <c r="AH159" i="4"/>
  <c r="AI159" i="4" s="1"/>
  <c r="AH145" i="4"/>
  <c r="AI145" i="4" s="1"/>
  <c r="AH125" i="4"/>
  <c r="AI125" i="4" s="1"/>
  <c r="AH151" i="4"/>
  <c r="AI151" i="4" s="1"/>
  <c r="AH137" i="4"/>
  <c r="AI137" i="4" s="1"/>
  <c r="AH117" i="4"/>
  <c r="AI117" i="4" s="1"/>
  <c r="AH166" i="4"/>
  <c r="AI166" i="4" s="1"/>
  <c r="AH150" i="4"/>
  <c r="AH147" i="4"/>
  <c r="AI147" i="4" s="1"/>
  <c r="AH136" i="4"/>
  <c r="AI136" i="4" s="1"/>
  <c r="AH119" i="4"/>
  <c r="AI119" i="4" s="1"/>
  <c r="AH160" i="4"/>
  <c r="AI160" i="4" s="1"/>
  <c r="AH129" i="4"/>
  <c r="AI129" i="4" s="1"/>
  <c r="AH118" i="4"/>
  <c r="AI118" i="4" s="1"/>
  <c r="AH173" i="4"/>
  <c r="AH156" i="4"/>
  <c r="AH138" i="4"/>
  <c r="AH131" i="4"/>
  <c r="AI131" i="4" s="1"/>
  <c r="AH121" i="4"/>
  <c r="AH172" i="4"/>
  <c r="AI172" i="4" s="1"/>
  <c r="AH148" i="4"/>
  <c r="AI148" i="4" s="1"/>
  <c r="AH127" i="4"/>
  <c r="AI127" i="4" s="1"/>
  <c r="AH134" i="4"/>
  <c r="AI134" i="4" s="1"/>
  <c r="AH158" i="4"/>
  <c r="AH165" i="4"/>
  <c r="AI165" i="4" s="1"/>
  <c r="AH133" i="4"/>
  <c r="AI133" i="4" s="1"/>
  <c r="AH126" i="4"/>
  <c r="AI126" i="4" s="1"/>
  <c r="AH116" i="4"/>
  <c r="AH170" i="4"/>
  <c r="AI170" i="4" s="1"/>
  <c r="AH157" i="4"/>
  <c r="AI157" i="4" s="1"/>
  <c r="AH139" i="4"/>
  <c r="AI139" i="4" s="1"/>
  <c r="AH122" i="4"/>
  <c r="AH169" i="4"/>
  <c r="AI169" i="4" s="1"/>
  <c r="AH163" i="4"/>
  <c r="AI163" i="4" s="1"/>
  <c r="AH152" i="4"/>
  <c r="AI152" i="4" s="1"/>
  <c r="AH175" i="4"/>
  <c r="AI175" i="4" s="1"/>
  <c r="AH162" i="4"/>
  <c r="AI162" i="4" s="1"/>
  <c r="AH155" i="4"/>
  <c r="AI155" i="4" s="1"/>
  <c r="AH144" i="4"/>
  <c r="AI144" i="4" s="1"/>
  <c r="AH124" i="4"/>
  <c r="AI124" i="4" s="1"/>
  <c r="AC59" i="4"/>
  <c r="AD59" i="4" s="1"/>
  <c r="S63" i="4"/>
  <c r="T63" i="4" s="1"/>
  <c r="AH67" i="4"/>
  <c r="AI67" i="4" s="1"/>
  <c r="AH71" i="4"/>
  <c r="AI71" i="4" s="1"/>
  <c r="AC75" i="4"/>
  <c r="AD75" i="4" s="1"/>
  <c r="S79" i="4"/>
  <c r="T79" i="4" s="1"/>
  <c r="AH83" i="4"/>
  <c r="AI83" i="4" s="1"/>
  <c r="AH87" i="4"/>
  <c r="AC91" i="4"/>
  <c r="AD91" i="4" s="1"/>
  <c r="S95" i="4"/>
  <c r="T95" i="4" s="1"/>
  <c r="AH99" i="4"/>
  <c r="AH103" i="4"/>
  <c r="AI103" i="4" s="1"/>
  <c r="AC107" i="4"/>
  <c r="AD107" i="4" s="1"/>
  <c r="S111" i="4"/>
  <c r="T111" i="4" s="1"/>
  <c r="AH115" i="4"/>
  <c r="AH109" i="4"/>
  <c r="AI109" i="4" s="1"/>
  <c r="M16" i="4"/>
  <c r="J45" i="2" s="1"/>
  <c r="M9" i="4"/>
  <c r="J173" i="4"/>
  <c r="J171" i="4"/>
  <c r="J139" i="4"/>
  <c r="J152" i="4"/>
  <c r="J146" i="4"/>
  <c r="S60" i="4"/>
  <c r="T60" i="4" s="1"/>
  <c r="S64" i="4"/>
  <c r="T64" i="4" s="1"/>
  <c r="AM68" i="4"/>
  <c r="AN68" i="4" s="1"/>
  <c r="AH72" i="4"/>
  <c r="AI72" i="4" s="1"/>
  <c r="AC76" i="4"/>
  <c r="AD76" i="4" s="1"/>
  <c r="S80" i="4"/>
  <c r="T80" i="4" s="1"/>
  <c r="AM84" i="4"/>
  <c r="AN84" i="4" s="1"/>
  <c r="AH88" i="4"/>
  <c r="AI88" i="4" s="1"/>
  <c r="AC92" i="4"/>
  <c r="AD92" i="4" s="1"/>
  <c r="S96" i="4"/>
  <c r="T96" i="4" s="1"/>
  <c r="AM100" i="4"/>
  <c r="AN100" i="4" s="1"/>
  <c r="AH104" i="4"/>
  <c r="AI104" i="4" s="1"/>
  <c r="AC108" i="4"/>
  <c r="AD108" i="4" s="1"/>
  <c r="S112" i="4"/>
  <c r="T112" i="4" s="1"/>
  <c r="S57" i="4"/>
  <c r="AM113" i="4"/>
  <c r="AN113" i="4" s="1"/>
  <c r="X101" i="4"/>
  <c r="Y101" i="4" s="1"/>
  <c r="T66" i="4"/>
  <c r="AI107" i="4"/>
  <c r="N59" i="4"/>
  <c r="O59" i="4" s="1"/>
  <c r="N63" i="4"/>
  <c r="O63" i="4" s="1"/>
  <c r="N67" i="4"/>
  <c r="O67" i="4" s="1"/>
  <c r="N71" i="4"/>
  <c r="O71" i="4" s="1"/>
  <c r="N75" i="4"/>
  <c r="O75" i="4" s="1"/>
  <c r="N79" i="4"/>
  <c r="O79" i="4" s="1"/>
  <c r="N83" i="4"/>
  <c r="O83" i="4" s="1"/>
  <c r="N87" i="4"/>
  <c r="O87" i="4" s="1"/>
  <c r="N91" i="4"/>
  <c r="O91" i="4" s="1"/>
  <c r="N95" i="4"/>
  <c r="O95" i="4" s="1"/>
  <c r="N99" i="4"/>
  <c r="O99" i="4" s="1"/>
  <c r="N103" i="4"/>
  <c r="O103" i="4" s="1"/>
  <c r="N107" i="4"/>
  <c r="O107" i="4" s="1"/>
  <c r="N111" i="4"/>
  <c r="O111" i="4" s="1"/>
  <c r="N115" i="4"/>
  <c r="O115" i="4" s="1"/>
  <c r="N119" i="4"/>
  <c r="O119" i="4" s="1"/>
  <c r="N123" i="4"/>
  <c r="O123" i="4" s="1"/>
  <c r="N127" i="4"/>
  <c r="O127" i="4" s="1"/>
  <c r="N131" i="4"/>
  <c r="O131" i="4" s="1"/>
  <c r="N135" i="4"/>
  <c r="O135" i="4" s="1"/>
  <c r="N139" i="4"/>
  <c r="O139" i="4" s="1"/>
  <c r="N143" i="4"/>
  <c r="O143" i="4" s="1"/>
  <c r="N147" i="4"/>
  <c r="O147" i="4" s="1"/>
  <c r="N60" i="4"/>
  <c r="O60" i="4" s="1"/>
  <c r="N64" i="4"/>
  <c r="O64" i="4" s="1"/>
  <c r="N68" i="4"/>
  <c r="O68" i="4" s="1"/>
  <c r="N72" i="4"/>
  <c r="O72" i="4" s="1"/>
  <c r="N76" i="4"/>
  <c r="O76" i="4" s="1"/>
  <c r="N80" i="4"/>
  <c r="O80" i="4" s="1"/>
  <c r="N84" i="4"/>
  <c r="O84" i="4" s="1"/>
  <c r="N88" i="4"/>
  <c r="O88" i="4" s="1"/>
  <c r="N62" i="4"/>
  <c r="O62" i="4" s="1"/>
  <c r="N70" i="4"/>
  <c r="O70" i="4" s="1"/>
  <c r="N78" i="4"/>
  <c r="O78" i="4" s="1"/>
  <c r="N86" i="4"/>
  <c r="O86" i="4" s="1"/>
  <c r="N93" i="4"/>
  <c r="O93" i="4" s="1"/>
  <c r="N98" i="4"/>
  <c r="O98" i="4" s="1"/>
  <c r="N104" i="4"/>
  <c r="O104" i="4" s="1"/>
  <c r="N109" i="4"/>
  <c r="O109" i="4" s="1"/>
  <c r="N114" i="4"/>
  <c r="O114" i="4" s="1"/>
  <c r="N120" i="4"/>
  <c r="O120" i="4" s="1"/>
  <c r="N125" i="4"/>
  <c r="O125" i="4" s="1"/>
  <c r="N130" i="4"/>
  <c r="O130" i="4" s="1"/>
  <c r="N136" i="4"/>
  <c r="O136" i="4" s="1"/>
  <c r="N141" i="4"/>
  <c r="O141" i="4" s="1"/>
  <c r="N146" i="4"/>
  <c r="O146" i="4" s="1"/>
  <c r="N151" i="4"/>
  <c r="O151" i="4" s="1"/>
  <c r="N155" i="4"/>
  <c r="O155" i="4" s="1"/>
  <c r="N159" i="4"/>
  <c r="O159" i="4" s="1"/>
  <c r="N163" i="4"/>
  <c r="O163" i="4" s="1"/>
  <c r="N167" i="4"/>
  <c r="O167" i="4" s="1"/>
  <c r="N171" i="4"/>
  <c r="O171" i="4" s="1"/>
  <c r="N175" i="4"/>
  <c r="O175" i="4" s="1"/>
  <c r="N65" i="4"/>
  <c r="O65" i="4" s="1"/>
  <c r="N73" i="4"/>
  <c r="O73" i="4" s="1"/>
  <c r="N81" i="4"/>
  <c r="O81" i="4" s="1"/>
  <c r="N89" i="4"/>
  <c r="O89" i="4" s="1"/>
  <c r="N94" i="4"/>
  <c r="O94" i="4" s="1"/>
  <c r="N100" i="4"/>
  <c r="O100" i="4" s="1"/>
  <c r="N105" i="4"/>
  <c r="O105" i="4" s="1"/>
  <c r="N110" i="4"/>
  <c r="O110" i="4" s="1"/>
  <c r="N116" i="4"/>
  <c r="O116" i="4" s="1"/>
  <c r="N121" i="4"/>
  <c r="O121" i="4" s="1"/>
  <c r="N126" i="4"/>
  <c r="O126" i="4" s="1"/>
  <c r="N132" i="4"/>
  <c r="O132" i="4" s="1"/>
  <c r="N137" i="4"/>
  <c r="O137" i="4" s="1"/>
  <c r="N142" i="4"/>
  <c r="O142" i="4" s="1"/>
  <c r="N148" i="4"/>
  <c r="O148" i="4" s="1"/>
  <c r="N152" i="4"/>
  <c r="O152" i="4" s="1"/>
  <c r="N156" i="4"/>
  <c r="O156" i="4" s="1"/>
  <c r="N160" i="4"/>
  <c r="O160" i="4" s="1"/>
  <c r="N164" i="4"/>
  <c r="O164" i="4" s="1"/>
  <c r="N168" i="4"/>
  <c r="O168" i="4" s="1"/>
  <c r="N172" i="4"/>
  <c r="O172" i="4" s="1"/>
  <c r="N176" i="4"/>
  <c r="O176" i="4" s="1"/>
  <c r="N58" i="4"/>
  <c r="O58" i="4" s="1"/>
  <c r="N66" i="4"/>
  <c r="O66" i="4" s="1"/>
  <c r="N74" i="4"/>
  <c r="O74" i="4" s="1"/>
  <c r="N82" i="4"/>
  <c r="O82" i="4" s="1"/>
  <c r="N90" i="4"/>
  <c r="O90" i="4" s="1"/>
  <c r="N96" i="4"/>
  <c r="O96" i="4" s="1"/>
  <c r="N101" i="4"/>
  <c r="O101" i="4" s="1"/>
  <c r="N106" i="4"/>
  <c r="O106" i="4" s="1"/>
  <c r="N112" i="4"/>
  <c r="O112" i="4" s="1"/>
  <c r="N117" i="4"/>
  <c r="O117" i="4" s="1"/>
  <c r="N122" i="4"/>
  <c r="O122" i="4" s="1"/>
  <c r="N128" i="4"/>
  <c r="O128" i="4" s="1"/>
  <c r="N133" i="4"/>
  <c r="O133" i="4" s="1"/>
  <c r="N138" i="4"/>
  <c r="O138" i="4" s="1"/>
  <c r="N144" i="4"/>
  <c r="O144" i="4" s="1"/>
  <c r="N149" i="4"/>
  <c r="O149" i="4" s="1"/>
  <c r="N153" i="4"/>
  <c r="O153" i="4" s="1"/>
  <c r="N157" i="4"/>
  <c r="O157" i="4" s="1"/>
  <c r="N161" i="4"/>
  <c r="O161" i="4" s="1"/>
  <c r="N165" i="4"/>
  <c r="O165" i="4" s="1"/>
  <c r="N169" i="4"/>
  <c r="O169" i="4" s="1"/>
  <c r="N173" i="4"/>
  <c r="O173" i="4" s="1"/>
  <c r="N57" i="4"/>
  <c r="N61" i="4"/>
  <c r="O61" i="4" s="1"/>
  <c r="N69" i="4"/>
  <c r="O69" i="4" s="1"/>
  <c r="N77" i="4"/>
  <c r="O77" i="4" s="1"/>
  <c r="N85" i="4"/>
  <c r="O85" i="4" s="1"/>
  <c r="N92" i="4"/>
  <c r="O92" i="4" s="1"/>
  <c r="N97" i="4"/>
  <c r="O97" i="4" s="1"/>
  <c r="N102" i="4"/>
  <c r="O102" i="4" s="1"/>
  <c r="N108" i="4"/>
  <c r="O108" i="4" s="1"/>
  <c r="N113" i="4"/>
  <c r="O113" i="4" s="1"/>
  <c r="N118" i="4"/>
  <c r="O118" i="4" s="1"/>
  <c r="N124" i="4"/>
  <c r="O124" i="4" s="1"/>
  <c r="N129" i="4"/>
  <c r="O129" i="4" s="1"/>
  <c r="N134" i="4"/>
  <c r="O134" i="4" s="1"/>
  <c r="N140" i="4"/>
  <c r="O140" i="4" s="1"/>
  <c r="N145" i="4"/>
  <c r="O145" i="4" s="1"/>
  <c r="N150" i="4"/>
  <c r="O150" i="4" s="1"/>
  <c r="N154" i="4"/>
  <c r="O154" i="4" s="1"/>
  <c r="N158" i="4"/>
  <c r="O158" i="4" s="1"/>
  <c r="N162" i="4"/>
  <c r="O162" i="4" s="1"/>
  <c r="N166" i="4"/>
  <c r="O166" i="4" s="1"/>
  <c r="N170" i="4"/>
  <c r="O170" i="4" s="1"/>
  <c r="N174" i="4"/>
  <c r="O174" i="4" s="1"/>
  <c r="AH61" i="4"/>
  <c r="AI61" i="4" s="1"/>
  <c r="S65" i="4"/>
  <c r="T65" i="4" s="1"/>
  <c r="AC69" i="4"/>
  <c r="AD69" i="4" s="1"/>
  <c r="AR69" i="4"/>
  <c r="AS69" i="4" s="1"/>
  <c r="AM73" i="4"/>
  <c r="AN73" i="4" s="1"/>
  <c r="AH77" i="4"/>
  <c r="AI77" i="4" s="1"/>
  <c r="S81" i="4"/>
  <c r="T81" i="4" s="1"/>
  <c r="AC85" i="4"/>
  <c r="AD85" i="4" s="1"/>
  <c r="AR85" i="4"/>
  <c r="AS85" i="4" s="1"/>
  <c r="AM89" i="4"/>
  <c r="AN89" i="4" s="1"/>
  <c r="AH93" i="4"/>
  <c r="AI93" i="4" s="1"/>
  <c r="S97" i="4"/>
  <c r="T97" i="4" s="1"/>
  <c r="AC101" i="4"/>
  <c r="AD101" i="4" s="1"/>
  <c r="AM105" i="4"/>
  <c r="AN105" i="4" s="1"/>
  <c r="AM114" i="4"/>
  <c r="AN114" i="4" s="1"/>
  <c r="X63" i="4"/>
  <c r="Y63" i="4" s="1"/>
  <c r="X99" i="4"/>
  <c r="Y99" i="4" s="1"/>
  <c r="X82" i="4"/>
  <c r="Y82" i="4" s="1"/>
  <c r="X66" i="4"/>
  <c r="Y66" i="4" s="1"/>
  <c r="X115" i="4"/>
  <c r="AC70" i="4"/>
  <c r="AD70" i="4" s="1"/>
  <c r="AC86" i="4"/>
  <c r="AD86" i="4" s="1"/>
  <c r="AC102" i="4"/>
  <c r="AD102" i="4" s="1"/>
  <c r="L14" i="4"/>
  <c r="AI156" i="4"/>
  <c r="AI150" i="4"/>
  <c r="AI167" i="4"/>
  <c r="AI135" i="4"/>
  <c r="AI122" i="4"/>
  <c r="AI176" i="4"/>
  <c r="AI141" i="4"/>
  <c r="AI121" i="4"/>
  <c r="AI120" i="4"/>
  <c r="AI116" i="4"/>
  <c r="AI123" i="4"/>
  <c r="AI173" i="4"/>
  <c r="AI138" i="4"/>
  <c r="AI158" i="4"/>
  <c r="AI168" i="4"/>
  <c r="AI154" i="4"/>
  <c r="AC63" i="4"/>
  <c r="AD63" i="4" s="1"/>
  <c r="S67" i="4"/>
  <c r="T67" i="4" s="1"/>
  <c r="AC79" i="4"/>
  <c r="AD79" i="4" s="1"/>
  <c r="S83" i="4"/>
  <c r="T83" i="4" s="1"/>
  <c r="AC95" i="4"/>
  <c r="AD95" i="4" s="1"/>
  <c r="S99" i="4"/>
  <c r="T99" i="4" s="1"/>
  <c r="AC111" i="4"/>
  <c r="AD111" i="4" s="1"/>
  <c r="S115" i="4"/>
  <c r="T115" i="4" s="1"/>
  <c r="T101" i="4"/>
  <c r="AI100" i="4"/>
  <c r="G16" i="4"/>
  <c r="D45" i="2" s="1"/>
  <c r="G9" i="4"/>
  <c r="AH60" i="4"/>
  <c r="AI60" i="4" s="1"/>
  <c r="AC64" i="4"/>
  <c r="AD64" i="4" s="1"/>
  <c r="S68" i="4"/>
  <c r="T68" i="4" s="1"/>
  <c r="AM72" i="4"/>
  <c r="AN72" i="4" s="1"/>
  <c r="AH76" i="4"/>
  <c r="AI76" i="4" s="1"/>
  <c r="AC80" i="4"/>
  <c r="AD80" i="4" s="1"/>
  <c r="S84" i="4"/>
  <c r="T84" i="4" s="1"/>
  <c r="AM88" i="4"/>
  <c r="AN88" i="4" s="1"/>
  <c r="AH92" i="4"/>
  <c r="AI92" i="4" s="1"/>
  <c r="AC96" i="4"/>
  <c r="AD96" i="4" s="1"/>
  <c r="S100" i="4"/>
  <c r="T100" i="4" s="1"/>
  <c r="AM104" i="4"/>
  <c r="AN104" i="4" s="1"/>
  <c r="AH108" i="4"/>
  <c r="AI108" i="4" s="1"/>
  <c r="AC112" i="4"/>
  <c r="AD112" i="4" s="1"/>
  <c r="X117" i="4"/>
  <c r="Y117" i="4" s="1"/>
  <c r="X125" i="4"/>
  <c r="Y125" i="4" s="1"/>
  <c r="X133" i="4"/>
  <c r="Y133" i="4" s="1"/>
  <c r="X141" i="4"/>
  <c r="Y141" i="4" s="1"/>
  <c r="X149" i="4"/>
  <c r="X157" i="4"/>
  <c r="Y157" i="4" s="1"/>
  <c r="X165" i="4"/>
  <c r="Y165" i="4" s="1"/>
  <c r="X120" i="4"/>
  <c r="Y120" i="4" s="1"/>
  <c r="X128" i="4"/>
  <c r="Y128" i="4" s="1"/>
  <c r="X136" i="4"/>
  <c r="Y136" i="4" s="1"/>
  <c r="X144" i="4"/>
  <c r="Y144" i="4" s="1"/>
  <c r="X152" i="4"/>
  <c r="Y152" i="4" s="1"/>
  <c r="X160" i="4"/>
  <c r="Y160" i="4" s="1"/>
  <c r="X168" i="4"/>
  <c r="Y168" i="4" s="1"/>
  <c r="X176" i="4"/>
  <c r="Y176" i="4" s="1"/>
  <c r="X173" i="4"/>
  <c r="X171" i="4"/>
  <c r="Y171" i="4" s="1"/>
  <c r="X119" i="4"/>
  <c r="Y119" i="4" s="1"/>
  <c r="X127" i="4"/>
  <c r="Y127" i="4" s="1"/>
  <c r="X135" i="4"/>
  <c r="Y135" i="4" s="1"/>
  <c r="X143" i="4"/>
  <c r="Y143" i="4" s="1"/>
  <c r="X151" i="4"/>
  <c r="Y151" i="4" s="1"/>
  <c r="X159" i="4"/>
  <c r="X122" i="4"/>
  <c r="Y122" i="4" s="1"/>
  <c r="X130" i="4"/>
  <c r="Y130" i="4" s="1"/>
  <c r="X138" i="4"/>
  <c r="Y138" i="4" s="1"/>
  <c r="X146" i="4"/>
  <c r="Y146" i="4" s="1"/>
  <c r="X154" i="4"/>
  <c r="Y154" i="4" s="1"/>
  <c r="X162" i="4"/>
  <c r="Y162" i="4" s="1"/>
  <c r="X170" i="4"/>
  <c r="Y170" i="4" s="1"/>
  <c r="X167" i="4"/>
  <c r="Y167" i="4" s="1"/>
  <c r="X121" i="4"/>
  <c r="X129" i="4"/>
  <c r="Y129" i="4" s="1"/>
  <c r="X137" i="4"/>
  <c r="Y137" i="4" s="1"/>
  <c r="X145" i="4"/>
  <c r="Y145" i="4" s="1"/>
  <c r="X153" i="4"/>
  <c r="Y153" i="4" s="1"/>
  <c r="X161" i="4"/>
  <c r="X116" i="4"/>
  <c r="Y116" i="4" s="1"/>
  <c r="X124" i="4"/>
  <c r="Y124" i="4" s="1"/>
  <c r="X132" i="4"/>
  <c r="Y132" i="4" s="1"/>
  <c r="X140" i="4"/>
  <c r="Y140" i="4" s="1"/>
  <c r="X148" i="4"/>
  <c r="Y148" i="4" s="1"/>
  <c r="X156" i="4"/>
  <c r="Y156" i="4" s="1"/>
  <c r="X164" i="4"/>
  <c r="X172" i="4"/>
  <c r="X175" i="4"/>
  <c r="Y175" i="4" s="1"/>
  <c r="X123" i="4"/>
  <c r="Y123" i="4" s="1"/>
  <c r="X131" i="4"/>
  <c r="Y131" i="4" s="1"/>
  <c r="X139" i="4"/>
  <c r="Y139" i="4" s="1"/>
  <c r="X147" i="4"/>
  <c r="Y147" i="4" s="1"/>
  <c r="X155" i="4"/>
  <c r="Y155" i="4" s="1"/>
  <c r="X163" i="4"/>
  <c r="Y163" i="4" s="1"/>
  <c r="X118" i="4"/>
  <c r="Y118" i="4" s="1"/>
  <c r="X126" i="4"/>
  <c r="Y126" i="4" s="1"/>
  <c r="X134" i="4"/>
  <c r="Y134" i="4" s="1"/>
  <c r="X142" i="4"/>
  <c r="Y142" i="4" s="1"/>
  <c r="X150" i="4"/>
  <c r="Y150" i="4" s="1"/>
  <c r="X158" i="4"/>
  <c r="Y158" i="4" s="1"/>
  <c r="X166" i="4"/>
  <c r="Y166" i="4" s="1"/>
  <c r="X174" i="4"/>
  <c r="X169" i="4"/>
  <c r="Y169" i="4" s="1"/>
  <c r="J16" i="4"/>
  <c r="G45" i="2" s="1"/>
  <c r="AC57" i="4"/>
  <c r="AC113" i="4"/>
  <c r="AD113" i="4" s="1"/>
  <c r="X69" i="4"/>
  <c r="Y69" i="4" s="1"/>
  <c r="AR166" i="4"/>
  <c r="AS166" i="4" s="1"/>
  <c r="AR130" i="4"/>
  <c r="AS130" i="4" s="1"/>
  <c r="AR171" i="4"/>
  <c r="AS171" i="4" s="1"/>
  <c r="AR150" i="4"/>
  <c r="AS150" i="4" s="1"/>
  <c r="AR136" i="4"/>
  <c r="AS136" i="4" s="1"/>
  <c r="AR119" i="4"/>
  <c r="AS119" i="4" s="1"/>
  <c r="AR160" i="4"/>
  <c r="AS160" i="4" s="1"/>
  <c r="AR129" i="4"/>
  <c r="AS129" i="4" s="1"/>
  <c r="AR173" i="4"/>
  <c r="AS173" i="4" s="1"/>
  <c r="AR156" i="4"/>
  <c r="AS156" i="4" s="1"/>
  <c r="AR138" i="4"/>
  <c r="AS138" i="4" s="1"/>
  <c r="AR121" i="4"/>
  <c r="AS121" i="4" s="1"/>
  <c r="AR172" i="4"/>
  <c r="AS172" i="4" s="1"/>
  <c r="AR155" i="4"/>
  <c r="AS155" i="4" s="1"/>
  <c r="AR148" i="4"/>
  <c r="AS148" i="4" s="1"/>
  <c r="AR127" i="4"/>
  <c r="AS127" i="4" s="1"/>
  <c r="AR134" i="4"/>
  <c r="AS134" i="4" s="1"/>
  <c r="AR158" i="4"/>
  <c r="AS158" i="4" s="1"/>
  <c r="AR165" i="4"/>
  <c r="AS165" i="4" s="1"/>
  <c r="AR147" i="4"/>
  <c r="AS147" i="4" s="1"/>
  <c r="AR133" i="4"/>
  <c r="AS133" i="4" s="1"/>
  <c r="AR123" i="4"/>
  <c r="AS123" i="4" s="1"/>
  <c r="AR116" i="4"/>
  <c r="AS116" i="4" s="1"/>
  <c r="AR170" i="4"/>
  <c r="AS170" i="4" s="1"/>
  <c r="AR157" i="4"/>
  <c r="AS157" i="4" s="1"/>
  <c r="AR142" i="4"/>
  <c r="AS142" i="4" s="1"/>
  <c r="AR139" i="4"/>
  <c r="AS139" i="4" s="1"/>
  <c r="AR122" i="4"/>
  <c r="AS122" i="4" s="1"/>
  <c r="AR169" i="4"/>
  <c r="AS169" i="4" s="1"/>
  <c r="AR152" i="4"/>
  <c r="AS152" i="4" s="1"/>
  <c r="AR131" i="4"/>
  <c r="AS131" i="4" s="1"/>
  <c r="AR162" i="4"/>
  <c r="AS162" i="4" s="1"/>
  <c r="AR144" i="4"/>
  <c r="AS144" i="4" s="1"/>
  <c r="AR124" i="4"/>
  <c r="AS124" i="4" s="1"/>
  <c r="AR168" i="4"/>
  <c r="AS168" i="4" s="1"/>
  <c r="AR161" i="4"/>
  <c r="AS161" i="4" s="1"/>
  <c r="AR143" i="4"/>
  <c r="AS143" i="4" s="1"/>
  <c r="AR126" i="4"/>
  <c r="AR167" i="4"/>
  <c r="AS167" i="4" s="1"/>
  <c r="AR153" i="4"/>
  <c r="AS153" i="4" s="1"/>
  <c r="AR135" i="4"/>
  <c r="AS135" i="4" s="1"/>
  <c r="AR163" i="4"/>
  <c r="AS163" i="4" s="1"/>
  <c r="AR149" i="4"/>
  <c r="AS149" i="4" s="1"/>
  <c r="AR128" i="4"/>
  <c r="AS128" i="4" s="1"/>
  <c r="AR141" i="4"/>
  <c r="AS141" i="4" s="1"/>
  <c r="AR120" i="4"/>
  <c r="AS120" i="4" s="1"/>
  <c r="AR174" i="4"/>
  <c r="AR154" i="4"/>
  <c r="AS154" i="4" s="1"/>
  <c r="AR140" i="4"/>
  <c r="AS140" i="4" s="1"/>
  <c r="AR164" i="4"/>
  <c r="AS164" i="4" s="1"/>
  <c r="AR146" i="4"/>
  <c r="AS146" i="4" s="1"/>
  <c r="AR132" i="4"/>
  <c r="AS132" i="4" s="1"/>
  <c r="AR118" i="4"/>
  <c r="AS118" i="4" s="1"/>
  <c r="AR176" i="4"/>
  <c r="AS176" i="4" s="1"/>
  <c r="AR159" i="4"/>
  <c r="AS159" i="4" s="1"/>
  <c r="AR145" i="4"/>
  <c r="AS145" i="4" s="1"/>
  <c r="AR125" i="4"/>
  <c r="AS125" i="4" s="1"/>
  <c r="AR175" i="4"/>
  <c r="AS175" i="4" s="1"/>
  <c r="AR151" i="4"/>
  <c r="AS151" i="4" s="1"/>
  <c r="AR137" i="4"/>
  <c r="AS137" i="4" s="1"/>
  <c r="AR117" i="4"/>
  <c r="AS117" i="4" s="1"/>
  <c r="AI87" i="4"/>
  <c r="J81" i="4"/>
  <c r="J97" i="4"/>
  <c r="AM61" i="4"/>
  <c r="AN61" i="4" s="1"/>
  <c r="AH65" i="4"/>
  <c r="AI65" i="4" s="1"/>
  <c r="S69" i="4"/>
  <c r="T69" i="4" s="1"/>
  <c r="AC73" i="4"/>
  <c r="AD73" i="4" s="1"/>
  <c r="AR73" i="4"/>
  <c r="AS73" i="4" s="1"/>
  <c r="AM77" i="4"/>
  <c r="AN77" i="4" s="1"/>
  <c r="AH81" i="4"/>
  <c r="AI81" i="4" s="1"/>
  <c r="S85" i="4"/>
  <c r="T85" i="4" s="1"/>
  <c r="AC89" i="4"/>
  <c r="AD89" i="4" s="1"/>
  <c r="AR89" i="4"/>
  <c r="AS89" i="4" s="1"/>
  <c r="AH97" i="4"/>
  <c r="AI97" i="4" s="1"/>
  <c r="AR105" i="4"/>
  <c r="AS105" i="4" s="1"/>
  <c r="AH114" i="4"/>
  <c r="AI114" i="4" s="1"/>
  <c r="X79" i="4"/>
  <c r="Y79" i="4" s="1"/>
  <c r="X107" i="4"/>
  <c r="Y107" i="4" s="1"/>
  <c r="X94" i="4"/>
  <c r="X78" i="4"/>
  <c r="Y78" i="4" s="1"/>
  <c r="X58" i="4"/>
  <c r="Y58" i="4" s="1"/>
  <c r="X98" i="4"/>
  <c r="Y98" i="4" s="1"/>
  <c r="AC158" i="4"/>
  <c r="AD158" i="4" s="1"/>
  <c r="AC147" i="4"/>
  <c r="AD147" i="4" s="1"/>
  <c r="AC116" i="4"/>
  <c r="AD116" i="4" s="1"/>
  <c r="AC170" i="4"/>
  <c r="AD170" i="4" s="1"/>
  <c r="AC139" i="4"/>
  <c r="AD139" i="4" s="1"/>
  <c r="AC129" i="4"/>
  <c r="AD129" i="4" s="1"/>
  <c r="AC122" i="4"/>
  <c r="AD122" i="4" s="1"/>
  <c r="AC173" i="4"/>
  <c r="AD173" i="4" s="1"/>
  <c r="AC152" i="4"/>
  <c r="AD152" i="4" s="1"/>
  <c r="AC131" i="4"/>
  <c r="AD131" i="4" s="1"/>
  <c r="AC121" i="4"/>
  <c r="AD121" i="4" s="1"/>
  <c r="AC162" i="4"/>
  <c r="AD162" i="4" s="1"/>
  <c r="AC144" i="4"/>
  <c r="AD144" i="4" s="1"/>
  <c r="AC124" i="4"/>
  <c r="AD124" i="4" s="1"/>
  <c r="AC168" i="4"/>
  <c r="AD168" i="4" s="1"/>
  <c r="AC165" i="4"/>
  <c r="AD165" i="4" s="1"/>
  <c r="AC143" i="4"/>
  <c r="AD143" i="4" s="1"/>
  <c r="AC133" i="4"/>
  <c r="AD133" i="4" s="1"/>
  <c r="AC126" i="4"/>
  <c r="AD126" i="4" s="1"/>
  <c r="AC167" i="4"/>
  <c r="AD167" i="4" s="1"/>
  <c r="AC157" i="4"/>
  <c r="AD157" i="4" s="1"/>
  <c r="AC135" i="4"/>
  <c r="AD135" i="4" s="1"/>
  <c r="AC118" i="4"/>
  <c r="AD118" i="4" s="1"/>
  <c r="AC169" i="4"/>
  <c r="AD169" i="4" s="1"/>
  <c r="AC163" i="4"/>
  <c r="AD163" i="4" s="1"/>
  <c r="AC128" i="4"/>
  <c r="AD128" i="4" s="1"/>
  <c r="AC175" i="4"/>
  <c r="AD175" i="4" s="1"/>
  <c r="AC155" i="4"/>
  <c r="AD155" i="4" s="1"/>
  <c r="AC120" i="4"/>
  <c r="AD120" i="4" s="1"/>
  <c r="AC134" i="4"/>
  <c r="AD134" i="4" s="1"/>
  <c r="AC174" i="4"/>
  <c r="AD174" i="4" s="1"/>
  <c r="AC161" i="4"/>
  <c r="AD161" i="4" s="1"/>
  <c r="AC154" i="4"/>
  <c r="AD154" i="4" s="1"/>
  <c r="AC140" i="4"/>
  <c r="AD140" i="4" s="1"/>
  <c r="AC123" i="4"/>
  <c r="AD123" i="4" s="1"/>
  <c r="AC164" i="4"/>
  <c r="AD164" i="4" s="1"/>
  <c r="AC153" i="4"/>
  <c r="AD153" i="4" s="1"/>
  <c r="AC146" i="4"/>
  <c r="AD146" i="4" s="1"/>
  <c r="AC132" i="4"/>
  <c r="AD132" i="4" s="1"/>
  <c r="AC176" i="4"/>
  <c r="AD176" i="4" s="1"/>
  <c r="AC159" i="4"/>
  <c r="AD159" i="4" s="1"/>
  <c r="AC149" i="4"/>
  <c r="AD149" i="4" s="1"/>
  <c r="AC151" i="4"/>
  <c r="AD151" i="4" s="1"/>
  <c r="AC141" i="4"/>
  <c r="AD141" i="4" s="1"/>
  <c r="AC166" i="4"/>
  <c r="AD166" i="4" s="1"/>
  <c r="AC130" i="4"/>
  <c r="AD130" i="4" s="1"/>
  <c r="AC171" i="4"/>
  <c r="AD171" i="4" s="1"/>
  <c r="AC150" i="4"/>
  <c r="AD150" i="4" s="1"/>
  <c r="AC136" i="4"/>
  <c r="AD136" i="4" s="1"/>
  <c r="AC119" i="4"/>
  <c r="AD119" i="4" s="1"/>
  <c r="AC160" i="4"/>
  <c r="AD160" i="4" s="1"/>
  <c r="AC142" i="4"/>
  <c r="AD142" i="4" s="1"/>
  <c r="AC156" i="4"/>
  <c r="AD156" i="4" s="1"/>
  <c r="AC145" i="4"/>
  <c r="AD145" i="4" s="1"/>
  <c r="AC138" i="4"/>
  <c r="AD138" i="4" s="1"/>
  <c r="AC125" i="4"/>
  <c r="AD125" i="4" s="1"/>
  <c r="AC172" i="4"/>
  <c r="AD172" i="4" s="1"/>
  <c r="AC148" i="4"/>
  <c r="AD148" i="4" s="1"/>
  <c r="AC137" i="4"/>
  <c r="AD137" i="4" s="1"/>
  <c r="AC127" i="4"/>
  <c r="AD127" i="4" s="1"/>
  <c r="AC117" i="4"/>
  <c r="AD117" i="4" s="1"/>
  <c r="K16" i="4"/>
  <c r="H45" i="2" s="1"/>
  <c r="K9" i="4"/>
  <c r="AC58" i="4"/>
  <c r="AD58" i="4" s="1"/>
  <c r="AC74" i="4"/>
  <c r="AD74" i="4" s="1"/>
  <c r="AC90" i="4"/>
  <c r="AD90" i="4" s="1"/>
  <c r="AC106" i="4"/>
  <c r="AD106" i="4" s="1"/>
  <c r="I16" i="4"/>
  <c r="F45" i="2" s="1"/>
  <c r="I9" i="4"/>
  <c r="S166" i="4"/>
  <c r="T166" i="4" s="1"/>
  <c r="S130" i="4"/>
  <c r="T130" i="4" s="1"/>
  <c r="S171" i="4"/>
  <c r="T171" i="4" s="1"/>
  <c r="S165" i="4"/>
  <c r="T165" i="4" s="1"/>
  <c r="S150" i="4"/>
  <c r="T150" i="4" s="1"/>
  <c r="S136" i="4"/>
  <c r="T136" i="4" s="1"/>
  <c r="S133" i="4"/>
  <c r="T133" i="4" s="1"/>
  <c r="S119" i="4"/>
  <c r="T119" i="4" s="1"/>
  <c r="S160" i="4"/>
  <c r="T160" i="4" s="1"/>
  <c r="S157" i="4"/>
  <c r="T157" i="4" s="1"/>
  <c r="S142" i="4"/>
  <c r="T142" i="4" s="1"/>
  <c r="S169" i="4"/>
  <c r="T169" i="4" s="1"/>
  <c r="S156" i="4"/>
  <c r="T156" i="4" s="1"/>
  <c r="S138" i="4"/>
  <c r="T138" i="4" s="1"/>
  <c r="S172" i="4"/>
  <c r="T172" i="4" s="1"/>
  <c r="S148" i="4"/>
  <c r="T148" i="4" s="1"/>
  <c r="S127" i="4"/>
  <c r="T127" i="4" s="1"/>
  <c r="S158" i="4"/>
  <c r="T158" i="4" s="1"/>
  <c r="S161" i="4"/>
  <c r="T161" i="4" s="1"/>
  <c r="S147" i="4"/>
  <c r="T147" i="4" s="1"/>
  <c r="S116" i="4"/>
  <c r="T116" i="4" s="1"/>
  <c r="S170" i="4"/>
  <c r="T170" i="4" s="1"/>
  <c r="S153" i="4"/>
  <c r="T153" i="4" s="1"/>
  <c r="S139" i="4"/>
  <c r="T139" i="4" s="1"/>
  <c r="S122" i="4"/>
  <c r="T122" i="4" s="1"/>
  <c r="S152" i="4"/>
  <c r="T152" i="4" s="1"/>
  <c r="S149" i="4"/>
  <c r="T149" i="4" s="1"/>
  <c r="S131" i="4"/>
  <c r="T131" i="4" s="1"/>
  <c r="S162" i="4"/>
  <c r="T162" i="4" s="1"/>
  <c r="S144" i="4"/>
  <c r="T144" i="4" s="1"/>
  <c r="S141" i="4"/>
  <c r="T141" i="4" s="1"/>
  <c r="S124" i="4"/>
  <c r="T124" i="4" s="1"/>
  <c r="S168" i="4"/>
  <c r="T168" i="4" s="1"/>
  <c r="S143" i="4"/>
  <c r="T143" i="4" s="1"/>
  <c r="S126" i="4"/>
  <c r="T126" i="4" s="1"/>
  <c r="S167" i="4"/>
  <c r="T167" i="4" s="1"/>
  <c r="S135" i="4"/>
  <c r="T135" i="4" s="1"/>
  <c r="S118" i="4"/>
  <c r="T118" i="4" s="1"/>
  <c r="S163" i="4"/>
  <c r="T163" i="4" s="1"/>
  <c r="S145" i="4"/>
  <c r="T145" i="4" s="1"/>
  <c r="S128" i="4"/>
  <c r="T128" i="4" s="1"/>
  <c r="S125" i="4"/>
  <c r="T125" i="4" s="1"/>
  <c r="S175" i="4"/>
  <c r="T175" i="4" s="1"/>
  <c r="S155" i="4"/>
  <c r="T155" i="4" s="1"/>
  <c r="S137" i="4"/>
  <c r="T137" i="4" s="1"/>
  <c r="S120" i="4"/>
  <c r="T120" i="4" s="1"/>
  <c r="S117" i="4"/>
  <c r="T117" i="4" s="1"/>
  <c r="S134" i="4"/>
  <c r="T134" i="4" s="1"/>
  <c r="S174" i="4"/>
  <c r="T174" i="4" s="1"/>
  <c r="S154" i="4"/>
  <c r="T154" i="4" s="1"/>
  <c r="S140" i="4"/>
  <c r="T140" i="4" s="1"/>
  <c r="S123" i="4"/>
  <c r="T123" i="4" s="1"/>
  <c r="S164" i="4"/>
  <c r="T164" i="4" s="1"/>
  <c r="S146" i="4"/>
  <c r="T146" i="4" s="1"/>
  <c r="S132" i="4"/>
  <c r="T132" i="4" s="1"/>
  <c r="S129" i="4"/>
  <c r="T129" i="4" s="1"/>
  <c r="S176" i="4"/>
  <c r="T176" i="4" s="1"/>
  <c r="S173" i="4"/>
  <c r="T173" i="4" s="1"/>
  <c r="S159" i="4"/>
  <c r="T159" i="4" s="1"/>
  <c r="S121" i="4"/>
  <c r="T121" i="4" s="1"/>
  <c r="S151" i="4"/>
  <c r="T151" i="4" s="1"/>
  <c r="AI113" i="4"/>
  <c r="L16" i="4"/>
  <c r="I45" i="2" s="1"/>
  <c r="L9" i="4"/>
  <c r="AC67" i="4"/>
  <c r="AD67" i="4" s="1"/>
  <c r="S71" i="4"/>
  <c r="T71" i="4" s="1"/>
  <c r="AC83" i="4"/>
  <c r="AD83" i="4" s="1"/>
  <c r="S87" i="4"/>
  <c r="T87" i="4" s="1"/>
  <c r="AC99" i="4"/>
  <c r="AD99" i="4" s="1"/>
  <c r="S103" i="4"/>
  <c r="T103" i="4" s="1"/>
  <c r="AC115" i="4"/>
  <c r="AD115" i="4" s="1"/>
  <c r="AC109" i="4"/>
  <c r="AD109" i="4" s="1"/>
  <c r="AM134" i="4"/>
  <c r="AN134" i="4" s="1"/>
  <c r="AM174" i="4"/>
  <c r="AN174" i="4" s="1"/>
  <c r="AM154" i="4"/>
  <c r="AN154" i="4" s="1"/>
  <c r="AM140" i="4"/>
  <c r="AN140" i="4" s="1"/>
  <c r="AM126" i="4"/>
  <c r="AN126" i="4" s="1"/>
  <c r="AM164" i="4"/>
  <c r="AN164" i="4" s="1"/>
  <c r="AM132" i="4"/>
  <c r="AN132" i="4" s="1"/>
  <c r="AM118" i="4"/>
  <c r="AN118" i="4" s="1"/>
  <c r="AM176" i="4"/>
  <c r="AN176" i="4" s="1"/>
  <c r="AM163" i="4"/>
  <c r="AN163" i="4" s="1"/>
  <c r="AM159" i="4"/>
  <c r="AN159" i="4" s="1"/>
  <c r="AM145" i="4"/>
  <c r="AN145" i="4" s="1"/>
  <c r="AM125" i="4"/>
  <c r="AN125" i="4" s="1"/>
  <c r="AM175" i="4"/>
  <c r="AN175" i="4" s="1"/>
  <c r="AM151" i="4"/>
  <c r="AN151" i="4" s="1"/>
  <c r="AM137" i="4"/>
  <c r="AN137" i="4" s="1"/>
  <c r="AM117" i="4"/>
  <c r="AN117" i="4" s="1"/>
  <c r="AM166" i="4"/>
  <c r="AN166" i="4" s="1"/>
  <c r="AM150" i="4"/>
  <c r="AN150" i="4" s="1"/>
  <c r="AM136" i="4"/>
  <c r="AN136" i="4" s="1"/>
  <c r="AM119" i="4"/>
  <c r="AN119" i="4" s="1"/>
  <c r="AM160" i="4"/>
  <c r="AN160" i="4" s="1"/>
  <c r="AM146" i="4"/>
  <c r="AN146" i="4" s="1"/>
  <c r="AM129" i="4"/>
  <c r="AN129" i="4" s="1"/>
  <c r="AM173" i="4"/>
  <c r="AN173" i="4" s="1"/>
  <c r="AM156" i="4"/>
  <c r="AN156" i="4" s="1"/>
  <c r="AM138" i="4"/>
  <c r="AN138" i="4" s="1"/>
  <c r="AM121" i="4"/>
  <c r="AN121" i="4" s="1"/>
  <c r="AM172" i="4"/>
  <c r="AN172" i="4" s="1"/>
  <c r="AM148" i="4"/>
  <c r="AN148" i="4" s="1"/>
  <c r="AM127" i="4"/>
  <c r="AN127" i="4" s="1"/>
  <c r="AM130" i="4"/>
  <c r="AN130" i="4" s="1"/>
  <c r="AM158" i="4"/>
  <c r="AN158" i="4" s="1"/>
  <c r="AM171" i="4"/>
  <c r="AN171" i="4" s="1"/>
  <c r="AM165" i="4"/>
  <c r="AN165" i="4" s="1"/>
  <c r="AM133" i="4"/>
  <c r="AN133" i="4" s="1"/>
  <c r="AM116" i="4"/>
  <c r="AN116" i="4" s="1"/>
  <c r="AM170" i="4"/>
  <c r="AN170" i="4" s="1"/>
  <c r="AM157" i="4"/>
  <c r="AN157" i="4" s="1"/>
  <c r="AM142" i="4"/>
  <c r="AN142" i="4" s="1"/>
  <c r="AM139" i="4"/>
  <c r="AN139" i="4" s="1"/>
  <c r="AM122" i="4"/>
  <c r="AN122" i="4" s="1"/>
  <c r="AM169" i="4"/>
  <c r="AN169" i="4" s="1"/>
  <c r="AM152" i="4"/>
  <c r="AN152" i="4" s="1"/>
  <c r="AM162" i="4"/>
  <c r="AN162" i="4" s="1"/>
  <c r="AM155" i="4"/>
  <c r="AN155" i="4" s="1"/>
  <c r="AM144" i="4"/>
  <c r="AN144" i="4" s="1"/>
  <c r="AM124" i="4"/>
  <c r="AN124" i="4" s="1"/>
  <c r="AM168" i="4"/>
  <c r="AN168" i="4" s="1"/>
  <c r="AM161" i="4"/>
  <c r="AN161" i="4" s="1"/>
  <c r="AM147" i="4"/>
  <c r="AN147" i="4" s="1"/>
  <c r="AM143" i="4"/>
  <c r="AN143" i="4" s="1"/>
  <c r="AM123" i="4"/>
  <c r="AN123" i="4" s="1"/>
  <c r="AM167" i="4"/>
  <c r="AN167" i="4" s="1"/>
  <c r="AM153" i="4"/>
  <c r="AN153" i="4" s="1"/>
  <c r="AM135" i="4"/>
  <c r="AN135" i="4" s="1"/>
  <c r="AM149" i="4"/>
  <c r="AN149" i="4" s="1"/>
  <c r="AM131" i="4"/>
  <c r="AN131" i="4" s="1"/>
  <c r="AM128" i="4"/>
  <c r="AN128" i="4" s="1"/>
  <c r="AM141" i="4"/>
  <c r="AN141" i="4" s="1"/>
  <c r="AM120" i="4"/>
  <c r="AN120" i="4" s="1"/>
  <c r="AM60" i="4"/>
  <c r="AN60" i="4" s="1"/>
  <c r="AH64" i="4"/>
  <c r="AI64" i="4" s="1"/>
  <c r="AC68" i="4"/>
  <c r="AD68" i="4" s="1"/>
  <c r="S72" i="4"/>
  <c r="T72" i="4" s="1"/>
  <c r="AM76" i="4"/>
  <c r="AN76" i="4" s="1"/>
  <c r="AH80" i="4"/>
  <c r="AI80" i="4" s="1"/>
  <c r="AC84" i="4"/>
  <c r="AD84" i="4" s="1"/>
  <c r="S88" i="4"/>
  <c r="T88" i="4" s="1"/>
  <c r="AM92" i="4"/>
  <c r="AN92" i="4" s="1"/>
  <c r="AH96" i="4"/>
  <c r="AI96" i="4" s="1"/>
  <c r="AC100" i="4"/>
  <c r="AD100" i="4" s="1"/>
  <c r="S104" i="4"/>
  <c r="T104" i="4" s="1"/>
  <c r="AM108" i="4"/>
  <c r="AN108" i="4" s="1"/>
  <c r="AH112" i="4"/>
  <c r="AI112" i="4" s="1"/>
  <c r="Y174" i="4"/>
  <c r="Y159" i="4"/>
  <c r="Y109" i="4"/>
  <c r="Y173" i="4"/>
  <c r="Y172" i="4"/>
  <c r="J14" i="4"/>
  <c r="Y103" i="4"/>
  <c r="Y161" i="4"/>
  <c r="Y97" i="4"/>
  <c r="Y105" i="4"/>
  <c r="Y113" i="4"/>
  <c r="Y121" i="4"/>
  <c r="Y72" i="4"/>
  <c r="Y94" i="4"/>
  <c r="Y164" i="4"/>
  <c r="Y115" i="4"/>
  <c r="Y74" i="4"/>
  <c r="Y80" i="4"/>
  <c r="Y108" i="4"/>
  <c r="Y149" i="4"/>
  <c r="S113" i="4"/>
  <c r="T113" i="4" s="1"/>
  <c r="Y81" i="4"/>
  <c r="T74" i="4"/>
  <c r="T90" i="4"/>
  <c r="T106" i="4"/>
  <c r="N16" i="4"/>
  <c r="K45" i="2" s="1"/>
  <c r="N9" i="4"/>
  <c r="N14" i="4"/>
  <c r="AS126" i="4"/>
  <c r="AS174" i="4"/>
  <c r="AI115" i="4"/>
  <c r="AI99" i="4"/>
  <c r="H16" i="4"/>
  <c r="E45" i="2" s="1"/>
  <c r="H9" i="4"/>
  <c r="AC61" i="4"/>
  <c r="AD61" i="4" s="1"/>
  <c r="AR61" i="4"/>
  <c r="AS61" i="4" s="1"/>
  <c r="AM65" i="4"/>
  <c r="AN65" i="4" s="1"/>
  <c r="AH69" i="4"/>
  <c r="AI69" i="4" s="1"/>
  <c r="S73" i="4"/>
  <c r="T73" i="4" s="1"/>
  <c r="AC77" i="4"/>
  <c r="AD77" i="4" s="1"/>
  <c r="AR77" i="4"/>
  <c r="AS77" i="4" s="1"/>
  <c r="AM81" i="4"/>
  <c r="AN81" i="4" s="1"/>
  <c r="AH85" i="4"/>
  <c r="AI85" i="4" s="1"/>
  <c r="S89" i="4"/>
  <c r="T89" i="4" s="1"/>
  <c r="AC93" i="4"/>
  <c r="AD93" i="4" s="1"/>
  <c r="AR93" i="4"/>
  <c r="AS93" i="4" s="1"/>
  <c r="AM97" i="4"/>
  <c r="AN97" i="4" s="1"/>
  <c r="AH101" i="4"/>
  <c r="AI101" i="4" s="1"/>
  <c r="S105" i="4"/>
  <c r="T105" i="4" s="1"/>
  <c r="S114" i="4"/>
  <c r="T114" i="4" s="1"/>
  <c r="AR114" i="4"/>
  <c r="AS114" i="4" s="1"/>
  <c r="X83" i="4"/>
  <c r="Y83" i="4" s="1"/>
  <c r="X68" i="4"/>
  <c r="Y68" i="4" s="1"/>
  <c r="X106" i="4"/>
  <c r="Y106" i="4" s="1"/>
  <c r="X90" i="4"/>
  <c r="Y90" i="4" s="1"/>
  <c r="X62" i="4"/>
  <c r="Y62" i="4" s="1"/>
  <c r="X110" i="4"/>
  <c r="Y110" i="4" s="1"/>
  <c r="C10" i="7"/>
  <c r="D17" i="7"/>
  <c r="D10" i="7"/>
  <c r="D16" i="7"/>
  <c r="D15" i="7"/>
  <c r="D14" i="7"/>
  <c r="AA48" i="4" l="1"/>
  <c r="G42" i="2" s="1"/>
  <c r="AC48" i="4"/>
  <c r="I42" i="2" s="1"/>
  <c r="AA46" i="4"/>
  <c r="G40" i="2" s="1"/>
  <c r="J11" i="4"/>
  <c r="J10" i="4"/>
  <c r="O57" i="4"/>
  <c r="H11" i="4"/>
  <c r="L10" i="4"/>
  <c r="I7" i="2" s="1"/>
  <c r="K51" i="2" s="1"/>
  <c r="K52" i="2" s="1"/>
  <c r="N11" i="4"/>
  <c r="AD57" i="4"/>
  <c r="AA45" i="4" s="1"/>
  <c r="K11" i="4"/>
  <c r="T57" i="4"/>
  <c r="I11" i="4"/>
  <c r="J57" i="4"/>
  <c r="G11" i="4"/>
  <c r="AN57" i="4"/>
  <c r="M11" i="4"/>
  <c r="L11" i="4"/>
  <c r="N10" i="4"/>
  <c r="K7" i="2" s="1"/>
  <c r="M51" i="2" s="1"/>
  <c r="M52" i="2" s="1"/>
  <c r="C15" i="7"/>
  <c r="Y48" i="4" l="1"/>
  <c r="E42" i="2" s="1"/>
  <c r="K10" i="4"/>
  <c r="AB47" i="4"/>
  <c r="H41" i="2" s="1"/>
  <c r="AA47" i="4"/>
  <c r="G41" i="2" s="1"/>
  <c r="AC47" i="4"/>
  <c r="I41" i="2" s="1"/>
  <c r="Y47" i="4"/>
  <c r="E41" i="2" s="1"/>
  <c r="Z47" i="4"/>
  <c r="F41" i="2" s="1"/>
  <c r="Z48" i="4"/>
  <c r="F42" i="2" s="1"/>
  <c r="X48" i="4"/>
  <c r="D42" i="2" s="1"/>
  <c r="AD48" i="4"/>
  <c r="J42" i="2" s="1"/>
  <c r="AB48" i="4"/>
  <c r="H42" i="2" s="1"/>
  <c r="M10" i="4"/>
  <c r="J7" i="2" s="1"/>
  <c r="L51" i="2" s="1"/>
  <c r="L52" i="2" s="1"/>
  <c r="X47" i="4"/>
  <c r="D41" i="2" s="1"/>
  <c r="G10" i="4"/>
  <c r="X44" i="4"/>
  <c r="X46" i="4"/>
  <c r="D40" i="2" s="1"/>
  <c r="X45" i="4"/>
  <c r="I10" i="4"/>
  <c r="Z46" i="4"/>
  <c r="F40" i="2" s="1"/>
  <c r="AB46" i="4"/>
  <c r="H40" i="2" s="1"/>
  <c r="H10" i="4"/>
  <c r="Y46" i="4"/>
  <c r="E40" i="2" s="1"/>
  <c r="Y44" i="4"/>
  <c r="C17" i="7"/>
  <c r="F24" i="6" l="1"/>
  <c r="F32" i="6"/>
  <c r="F25" i="6"/>
  <c r="F33" i="6"/>
  <c r="F26" i="6"/>
  <c r="F28" i="6"/>
  <c r="F29" i="6"/>
  <c r="F30" i="6"/>
  <c r="F31" i="6"/>
  <c r="F27" i="6"/>
  <c r="X6" i="4" l="1"/>
  <c r="X22" i="4" s="1"/>
  <c r="V24" i="4" s="1"/>
  <c r="Y6" i="4"/>
  <c r="Z6" i="4"/>
  <c r="AA6" i="4"/>
  <c r="AA22" i="4" s="1"/>
  <c r="V27" i="4" s="1"/>
  <c r="AB6" i="4"/>
  <c r="AB22" i="4" s="1"/>
  <c r="W6" i="4"/>
  <c r="Z39" i="4" l="1"/>
  <c r="Z22" i="4"/>
  <c r="V26" i="4" s="1"/>
  <c r="W39" i="4"/>
  <c r="W22" i="4"/>
  <c r="Y39" i="4"/>
  <c r="Y22" i="4"/>
  <c r="V25" i="4" s="1"/>
  <c r="AB39" i="4"/>
  <c r="V45" i="4" s="1"/>
  <c r="X39" i="4"/>
  <c r="V41" i="4" s="1"/>
  <c r="AA39" i="4"/>
  <c r="V44" i="4" s="1"/>
  <c r="H39" i="2"/>
  <c r="G38" i="2"/>
  <c r="F37" i="2"/>
  <c r="E36" i="2"/>
  <c r="D35" i="2"/>
  <c r="G16" i="2"/>
  <c r="F15" i="2"/>
  <c r="E14" i="2"/>
  <c r="D13" i="2"/>
  <c r="D4" i="2"/>
  <c r="E4" i="2"/>
  <c r="F4" i="2"/>
  <c r="G4" i="2"/>
  <c r="H4" i="2"/>
  <c r="C4" i="2"/>
  <c r="V43" i="4"/>
  <c r="V42" i="4"/>
  <c r="V28" i="4"/>
  <c r="V12" i="4"/>
  <c r="V11" i="4"/>
  <c r="V10" i="4"/>
  <c r="V9" i="4"/>
  <c r="V8" i="4"/>
  <c r="D64" i="2"/>
  <c r="D22" i="2" l="1"/>
  <c r="D33" i="2" s="1"/>
  <c r="D11" i="2"/>
  <c r="G11" i="2"/>
  <c r="G22" i="2"/>
  <c r="G33" i="2" s="1"/>
  <c r="F11" i="2"/>
  <c r="F22" i="2"/>
  <c r="F33" i="2" s="1"/>
  <c r="E22" i="2"/>
  <c r="E33" i="2" s="1"/>
  <c r="E11" i="2"/>
  <c r="C22" i="2"/>
  <c r="C11" i="2"/>
  <c r="H11" i="2"/>
  <c r="H22" i="2"/>
  <c r="H33" i="2" s="1"/>
  <c r="F44" i="2"/>
  <c r="H50" i="2" s="1"/>
  <c r="H62" i="2" s="1"/>
  <c r="G44" i="2"/>
  <c r="I50" i="2" s="1"/>
  <c r="I62" i="2" s="1"/>
  <c r="D44" i="2"/>
  <c r="F50" i="2" s="1"/>
  <c r="F62" i="2" s="1"/>
  <c r="E44" i="2"/>
  <c r="G50" i="2" s="1"/>
  <c r="G62" i="2" s="1"/>
  <c r="C44" i="2"/>
  <c r="D62" i="2" s="1"/>
  <c r="H44" i="2"/>
  <c r="J50" i="2" s="1"/>
  <c r="J62" i="2" s="1"/>
  <c r="C6" i="2"/>
  <c r="E58" i="2" s="1"/>
  <c r="B23" i="2" l="1" a="1"/>
  <c r="B23" i="2" s="1"/>
  <c r="B12" i="2" a="1"/>
  <c r="B12" i="2" s="1"/>
  <c r="C9" i="2"/>
  <c r="C33" i="2"/>
  <c r="I47" i="2"/>
  <c r="J47" i="2"/>
  <c r="K47" i="2"/>
  <c r="K9" i="2"/>
  <c r="J8" i="2"/>
  <c r="I8" i="2"/>
  <c r="K8" i="2"/>
  <c r="J9" i="2"/>
  <c r="I9" i="2"/>
  <c r="D73" i="2"/>
  <c r="D14" i="2"/>
  <c r="D47" i="2"/>
  <c r="F47" i="2"/>
  <c r="E47" i="2"/>
  <c r="D8" i="2"/>
  <c r="D66" i="2"/>
  <c r="D74" i="2" s="1"/>
  <c r="H8" i="2"/>
  <c r="G8" i="2"/>
  <c r="C8" i="2"/>
  <c r="F8" i="2"/>
  <c r="G6" i="2"/>
  <c r="G9" i="2" s="1"/>
  <c r="E8" i="2"/>
  <c r="F6" i="2"/>
  <c r="F9" i="2" s="1"/>
  <c r="AB28" i="4"/>
  <c r="H28" i="2" s="1"/>
  <c r="H6" i="2"/>
  <c r="H9" i="2" s="1"/>
  <c r="E6" i="2"/>
  <c r="E9" i="2" s="1"/>
  <c r="D6" i="2"/>
  <c r="D9" i="2" s="1"/>
  <c r="AA12" i="4"/>
  <c r="G17" i="2" s="1"/>
  <c r="W11" i="4"/>
  <c r="C16" i="2" s="1"/>
  <c r="Z12" i="4"/>
  <c r="F17" i="2" s="1"/>
  <c r="Z11" i="4"/>
  <c r="F16" i="2" s="1"/>
  <c r="W10" i="4"/>
  <c r="C15" i="2" s="1"/>
  <c r="D15" i="2"/>
  <c r="W8" i="4"/>
  <c r="C13" i="2" s="1"/>
  <c r="D16" i="2"/>
  <c r="W9" i="4"/>
  <c r="C14" i="2" s="1"/>
  <c r="Y11" i="4"/>
  <c r="E16" i="2" s="1"/>
  <c r="Y12" i="4"/>
  <c r="E17" i="2" s="1"/>
  <c r="E15" i="2"/>
  <c r="B34" i="2" l="1"/>
  <c r="B42" i="2"/>
  <c r="B40" i="2"/>
  <c r="B41" i="2"/>
  <c r="B39" i="2"/>
  <c r="D75" i="2"/>
  <c r="H47" i="2"/>
  <c r="G47" i="2"/>
  <c r="D65" i="2"/>
  <c r="B36" i="2"/>
  <c r="B37" i="2"/>
  <c r="B38" i="2"/>
  <c r="B35" i="2"/>
  <c r="Y43" i="4"/>
  <c r="E37" i="2" s="1"/>
  <c r="E7" i="2"/>
  <c r="G51" i="2" s="1"/>
  <c r="G52" i="2" s="1"/>
  <c r="F7" i="2"/>
  <c r="G7" i="2"/>
  <c r="I51" i="2" s="1"/>
  <c r="I52" i="2" s="1"/>
  <c r="X43" i="4"/>
  <c r="D37" i="2" s="1"/>
  <c r="X42" i="4"/>
  <c r="D36" i="2" s="1"/>
  <c r="D7" i="2"/>
  <c r="F51" i="2" s="1"/>
  <c r="F52" i="2" l="1"/>
  <c r="H51" i="2"/>
  <c r="H52" i="2" s="1"/>
  <c r="Z44" i="4"/>
  <c r="F38" i="2" s="1"/>
  <c r="E38" i="2"/>
  <c r="D38" i="2"/>
  <c r="H7" i="2"/>
  <c r="J51" i="2" s="1"/>
  <c r="J52" i="2" s="1"/>
  <c r="D67" i="2"/>
  <c r="D72" i="2"/>
  <c r="D76" i="2"/>
  <c r="D69" i="2"/>
  <c r="D77" i="2"/>
  <c r="D39" i="2"/>
  <c r="G39" i="2"/>
  <c r="Y45" i="4"/>
  <c r="E39" i="2" s="1"/>
  <c r="Z45" i="4"/>
  <c r="F39" i="2" s="1"/>
  <c r="E52" i="2" l="1"/>
  <c r="F53" i="2" s="1"/>
  <c r="F54" i="2" s="1"/>
  <c r="G53" i="2"/>
  <c r="D78" i="2"/>
  <c r="D79" i="2"/>
  <c r="E60" i="2" l="1"/>
  <c r="H53" i="2"/>
  <c r="H54" i="2" s="1"/>
  <c r="M53" i="2"/>
  <c r="L53" i="2"/>
  <c r="E55" i="2"/>
  <c r="I53" i="2"/>
  <c r="I54" i="2" s="1"/>
  <c r="J53" i="2"/>
  <c r="K53" i="2"/>
  <c r="E53" i="2" s="1"/>
  <c r="E64" i="2"/>
  <c r="E73" i="2" s="1"/>
  <c r="G54" i="2"/>
  <c r="E65" i="2"/>
  <c r="F63" i="2"/>
  <c r="G32" i="4" s="1"/>
  <c r="R32" i="4"/>
  <c r="M63" i="2"/>
  <c r="N32" i="4" s="1"/>
  <c r="M54" i="2"/>
  <c r="J54" i="2"/>
  <c r="J63" i="2"/>
  <c r="K32" i="4" s="1"/>
  <c r="P32" i="4"/>
  <c r="Q32" i="4"/>
  <c r="K63" i="2"/>
  <c r="L32" i="4" s="1"/>
  <c r="L54" i="2"/>
  <c r="L63" i="2"/>
  <c r="M32" i="4" s="1"/>
  <c r="O32" i="4"/>
  <c r="K54" i="2" l="1"/>
  <c r="E56" i="2" s="1"/>
  <c r="E69" i="2"/>
  <c r="E72" i="2"/>
  <c r="E70" i="2"/>
  <c r="E76" i="2"/>
  <c r="H63" i="2"/>
  <c r="G63" i="2"/>
  <c r="I63" i="2"/>
  <c r="E66" i="2" l="1"/>
  <c r="E67" i="2" s="1"/>
  <c r="E57" i="2"/>
  <c r="E59" i="2" s="1"/>
  <c r="E79" i="2"/>
  <c r="C79" i="2" s="1"/>
  <c r="C70" i="2"/>
  <c r="C73" i="2"/>
  <c r="C72" i="2"/>
  <c r="C76" i="2"/>
  <c r="F32" i="4"/>
  <c r="J32" i="4"/>
  <c r="H32" i="4"/>
  <c r="I32" i="4"/>
  <c r="C64" i="2"/>
  <c r="C65" i="2"/>
  <c r="C7" i="5" s="1"/>
  <c r="C66" i="2"/>
  <c r="D7" i="5" s="1"/>
  <c r="E71" i="2" l="1"/>
  <c r="C71" i="2" s="1"/>
  <c r="E74" i="2"/>
  <c r="E75" i="2" s="1"/>
  <c r="D29" i="5"/>
  <c r="D34" i="5" s="1"/>
  <c r="D12" i="5"/>
  <c r="AU72" i="4"/>
  <c r="AU88" i="4"/>
  <c r="AU104" i="4"/>
  <c r="AU120" i="4"/>
  <c r="AU136" i="4"/>
  <c r="AU152" i="4"/>
  <c r="AU168" i="4"/>
  <c r="AU139" i="4"/>
  <c r="AU155" i="4"/>
  <c r="AU69" i="4"/>
  <c r="AU85" i="4"/>
  <c r="AU101" i="4"/>
  <c r="AU117" i="4"/>
  <c r="AU133" i="4"/>
  <c r="AU149" i="4"/>
  <c r="AU165" i="4"/>
  <c r="AU134" i="4"/>
  <c r="AU150" i="4"/>
  <c r="AU166" i="4"/>
  <c r="AU119" i="4"/>
  <c r="AU159" i="4"/>
  <c r="AU58" i="4"/>
  <c r="AU74" i="4"/>
  <c r="AU122" i="4"/>
  <c r="AU63" i="4"/>
  <c r="AU79" i="4"/>
  <c r="AU95" i="4"/>
  <c r="AU60" i="4"/>
  <c r="AU76" i="4"/>
  <c r="AU92" i="4"/>
  <c r="AU108" i="4"/>
  <c r="AU124" i="4"/>
  <c r="AU140" i="4"/>
  <c r="AU156" i="4"/>
  <c r="AU172" i="4"/>
  <c r="AU143" i="4"/>
  <c r="AU167" i="4"/>
  <c r="AU73" i="4"/>
  <c r="AU89" i="4"/>
  <c r="AU105" i="4"/>
  <c r="AU121" i="4"/>
  <c r="AU137" i="4"/>
  <c r="AU153" i="4"/>
  <c r="AU169" i="4"/>
  <c r="AU138" i="4"/>
  <c r="AU154" i="4"/>
  <c r="AU170" i="4"/>
  <c r="AU123" i="4"/>
  <c r="AU163" i="4"/>
  <c r="AU62" i="4"/>
  <c r="AU78" i="4"/>
  <c r="AU94" i="4"/>
  <c r="AU110" i="4"/>
  <c r="AU126" i="4"/>
  <c r="AU67" i="4"/>
  <c r="AU83" i="4"/>
  <c r="AU99" i="4"/>
  <c r="AU113" i="4"/>
  <c r="AU162" i="4"/>
  <c r="AU70" i="4"/>
  <c r="AU118" i="4"/>
  <c r="AU91" i="4"/>
  <c r="AU90" i="4"/>
  <c r="AU64" i="4"/>
  <c r="AU80" i="4"/>
  <c r="AU96" i="4"/>
  <c r="AU112" i="4"/>
  <c r="AU128" i="4"/>
  <c r="AU144" i="4"/>
  <c r="AU160" i="4"/>
  <c r="AU147" i="4"/>
  <c r="AU61" i="4"/>
  <c r="AU77" i="4"/>
  <c r="AU93" i="4"/>
  <c r="AU109" i="4"/>
  <c r="AU125" i="4"/>
  <c r="AU141" i="4"/>
  <c r="AU157" i="4"/>
  <c r="AU173" i="4"/>
  <c r="AU142" i="4"/>
  <c r="AU158" i="4"/>
  <c r="AU174" i="4"/>
  <c r="AU127" i="4"/>
  <c r="AU171" i="4"/>
  <c r="AU66" i="4"/>
  <c r="AU82" i="4"/>
  <c r="AU98" i="4"/>
  <c r="AU114" i="4"/>
  <c r="AU130" i="4"/>
  <c r="AU71" i="4"/>
  <c r="AU87" i="4"/>
  <c r="AU103" i="4"/>
  <c r="AU129" i="4"/>
  <c r="AU146" i="4"/>
  <c r="AU115" i="4"/>
  <c r="AU86" i="4"/>
  <c r="AU59" i="4"/>
  <c r="AU107" i="4"/>
  <c r="AU106" i="4"/>
  <c r="AU68" i="4"/>
  <c r="AU84" i="4"/>
  <c r="AU100" i="4"/>
  <c r="AU116" i="4"/>
  <c r="AU132" i="4"/>
  <c r="AU148" i="4"/>
  <c r="AU164" i="4"/>
  <c r="AU135" i="4"/>
  <c r="AU151" i="4"/>
  <c r="AU65" i="4"/>
  <c r="AU81" i="4"/>
  <c r="AU97" i="4"/>
  <c r="AU145" i="4"/>
  <c r="AU161" i="4"/>
  <c r="AU131" i="4"/>
  <c r="AU102" i="4"/>
  <c r="AU75" i="4"/>
  <c r="AU111" i="4"/>
  <c r="C69" i="2"/>
  <c r="C74" i="2"/>
  <c r="C67" i="2"/>
  <c r="E6" i="5" l="1"/>
  <c r="E77" i="2"/>
  <c r="C75" i="2"/>
  <c r="C26" i="5"/>
  <c r="D21" i="5"/>
  <c r="D22" i="5"/>
  <c r="D14" i="5"/>
  <c r="D20" i="5"/>
  <c r="D17" i="5"/>
  <c r="D13" i="5"/>
  <c r="D15" i="5"/>
  <c r="D16" i="5"/>
  <c r="D18" i="5"/>
  <c r="D19" i="5"/>
  <c r="E12" i="5" l="1"/>
  <c r="F12" i="5" s="1"/>
  <c r="E24" i="5"/>
  <c r="E22" i="5"/>
  <c r="F22" i="5" s="1"/>
  <c r="D7" i="6"/>
  <c r="C77" i="2"/>
  <c r="E78" i="2"/>
  <c r="C78" i="2" s="1"/>
  <c r="E19" i="5"/>
  <c r="F19" i="5" s="1"/>
  <c r="E21" i="5"/>
  <c r="F21" i="5" s="1"/>
  <c r="E16" i="5"/>
  <c r="F16" i="5" s="1"/>
  <c r="E15" i="5"/>
  <c r="F15" i="5" s="1"/>
  <c r="E17" i="5"/>
  <c r="F17" i="5" s="1"/>
  <c r="E20" i="5"/>
  <c r="F20" i="5" s="1"/>
  <c r="E13" i="5"/>
  <c r="F13" i="5" s="1"/>
  <c r="E14" i="5"/>
  <c r="F14" i="5" s="1"/>
  <c r="E18" i="5"/>
  <c r="F18" i="5" s="1"/>
  <c r="E26" i="5"/>
  <c r="C24" i="5"/>
  <c r="D30" i="5" l="1"/>
  <c r="D8" i="6"/>
  <c r="F26" i="5"/>
  <c r="D15" i="6" l="1"/>
  <c r="D11" i="6"/>
  <c r="D33" i="5"/>
  <c r="D32" i="5"/>
  <c r="D31" i="5"/>
  <c r="D12" i="6" l="1"/>
  <c r="D13" i="6"/>
  <c r="C23" i="6" s="1"/>
  <c r="D14" i="6"/>
  <c r="D23" i="6" s="1"/>
  <c r="F23" i="6" s="1"/>
  <c r="D35" i="5"/>
  <c r="D18" i="6" l="1"/>
  <c r="E23" i="6" s="1"/>
  <c r="AA29" i="4" l="1"/>
  <c r="G29" i="2" s="1"/>
  <c r="G27" i="2"/>
  <c r="D25" i="2"/>
  <c r="E26" i="2"/>
  <c r="W28" i="4"/>
  <c r="C28" i="2" s="1"/>
  <c r="D24" i="2"/>
  <c r="E27" i="2"/>
  <c r="F27" i="2"/>
  <c r="C26" i="2"/>
  <c r="C25" i="2"/>
  <c r="AB29" i="4"/>
  <c r="H29" i="2" s="1"/>
  <c r="F26" i="2"/>
  <c r="D27" i="2"/>
  <c r="C27" i="2"/>
  <c r="Y30" i="4"/>
  <c r="E30" i="2" s="1"/>
  <c r="AB30" i="4"/>
  <c r="H30" i="2" s="1"/>
  <c r="C29" i="2"/>
  <c r="W29" i="4"/>
  <c r="E25" i="2"/>
  <c r="D26" i="2"/>
  <c r="C24" i="2"/>
  <c r="Z30" i="4"/>
  <c r="F30" i="2" s="1"/>
  <c r="AC30" i="4"/>
  <c r="I30" i="2" s="1"/>
  <c r="E31" i="2"/>
  <c r="Y31" i="4"/>
  <c r="AA31" i="4"/>
  <c r="G31" i="2" s="1"/>
  <c r="AC31" i="4"/>
  <c r="I31" i="2" s="1"/>
  <c r="AA30" i="4"/>
  <c r="G30" i="2" s="1"/>
  <c r="Z28" i="4"/>
  <c r="F28" i="2" s="1"/>
  <c r="Y28" i="4"/>
  <c r="E28" i="2" s="1"/>
  <c r="X31" i="4"/>
  <c r="D31" i="2" s="1"/>
  <c r="W30" i="4"/>
  <c r="C30" i="2" s="1"/>
  <c r="Z29" i="4"/>
  <c r="F29" i="2" s="1"/>
  <c r="Z31" i="4"/>
  <c r="F31" i="2" s="1"/>
  <c r="AB31" i="4"/>
  <c r="H31" i="2" s="1"/>
  <c r="AA28" i="4"/>
  <c r="G28" i="2" s="1"/>
  <c r="X28" i="4"/>
  <c r="D28" i="2" s="1"/>
  <c r="W31" i="4"/>
  <c r="C31" i="2" s="1"/>
  <c r="X30" i="4"/>
  <c r="D30" i="2" s="1"/>
  <c r="Y29" i="4"/>
  <c r="E29" i="2" s="1"/>
  <c r="X29" i="4"/>
  <c r="D29" i="2" s="1"/>
  <c r="AD31" i="4"/>
  <c r="J31" i="2" s="1"/>
  <c r="C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tc={5DACD1D5-5DC9-BA4C-826E-E54A56F9E206}</author>
    <author>Paul Bumchan Ahn</author>
  </authors>
  <commentList>
    <comment ref="E7" authorId="0" shapeId="0" xr:uid="{5DACD1D5-5DC9-BA4C-826E-E54A56F9E20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 from Yahoo Finance</t>
      </text>
    </comment>
    <comment ref="J13" authorId="1" shapeId="0" xr:uid="{02210D0E-BF1B-A949-B4E1-19B17E7AD47E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Can not use this alpha since the p-value is higher than 0.1</t>
        </r>
      </text>
    </comment>
    <comment ref="K13" authorId="1" shapeId="0" xr:uid="{EB314F0F-C89D-F249-BFFD-0FB669981991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 xml:space="preserve">Can not use this alpha since the p-value is higher than 0.1
</t>
        </r>
      </text>
    </comment>
    <comment ref="G14" authorId="1" shapeId="0" xr:uid="{F374F30E-AAB4-994C-A43B-5873015CCD26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Adjust the alpha as the market is too over heated
</t>
        </r>
      </text>
    </comment>
    <comment ref="H14" authorId="1" shapeId="0" xr:uid="{DC6C0CA1-6AFB-004E-8FDE-2FB0C73ACF32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 xml:space="preserve">Adjust the alpha as the market is too over heated
</t>
        </r>
      </text>
    </comment>
    <comment ref="I14" authorId="1" shapeId="0" xr:uid="{1D770127-085A-AE43-A646-F950990EC30A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 xml:space="preserve">Adjust the alpha as the market is too over heated
</t>
        </r>
      </text>
    </comment>
    <comment ref="E27" authorId="1" shapeId="0" xr:uid="{EDE8E749-D47D-AF4D-B918-C219470FF9C7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>Historical average P/E of the benchmark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<sst xmlns="http://schemas.openxmlformats.org/spreadsheetml/2006/main" count="470" uniqueCount="232">
  <si>
    <t>Panel A. Risk Parameters of Pf A (annualized)</t>
  </si>
  <si>
    <t>Beta</t>
  </si>
  <si>
    <t>SD of Excess Return</t>
  </si>
  <si>
    <t>SD of Residual (e), Firm specific Component</t>
  </si>
  <si>
    <t>SD of Systematic Component</t>
  </si>
  <si>
    <t>Correlation with the Market Index</t>
  </si>
  <si>
    <t>Panel B. Correlation Matrix</t>
  </si>
  <si>
    <t>Panel C. The Index Model Covariance Matrix</t>
  </si>
  <si>
    <t>Panel D. Correlation of Residuals in Pf A</t>
  </si>
  <si>
    <t>Panel F. Active Portfolio</t>
  </si>
  <si>
    <t xml:space="preserve">Active Pf </t>
  </si>
  <si>
    <t>Residual Variance of each security</t>
  </si>
  <si>
    <t>Initial position of each security</t>
  </si>
  <si>
    <t>Scaled initial position of each security</t>
  </si>
  <si>
    <t>Squared scaled initial position of each security</t>
  </si>
  <si>
    <t>Alpha of the Active Pf</t>
  </si>
  <si>
    <t>Residual Variance of Active Pf</t>
  </si>
  <si>
    <t>Active Pf information ratio (APIR)</t>
  </si>
  <si>
    <t>Index Pf information ratio (IPIR)</t>
  </si>
  <si>
    <t>Initial position in Active Pf (APIR/IPIR)</t>
  </si>
  <si>
    <t>Beta of the Active Pf</t>
  </si>
  <si>
    <t>Panel G. Optimal Risky Portfolios</t>
  </si>
  <si>
    <t>Overall Risky Pf</t>
  </si>
  <si>
    <t>Risk Premium</t>
  </si>
  <si>
    <t>Standard Deviation</t>
  </si>
  <si>
    <t>Sharpe Ratio</t>
  </si>
  <si>
    <t>Data. Security Index Model</t>
  </si>
  <si>
    <t>Panel 1. Risk &amp; Return Parameters in the Security Index Model</t>
  </si>
  <si>
    <t>Panel 2. Correlation and Covariance Matrixs in the Security Index Model</t>
  </si>
  <si>
    <t>Estimates annualized</t>
  </si>
  <si>
    <t>T-bill</t>
  </si>
  <si>
    <t>Correl (via Index)</t>
  </si>
  <si>
    <t>Covariance (via Index)</t>
  </si>
  <si>
    <t>SD of Residuals (e)</t>
  </si>
  <si>
    <t>SD of Systematic component</t>
  </si>
  <si>
    <t>Covariance</t>
  </si>
  <si>
    <t xml:space="preserve">Beta </t>
  </si>
  <si>
    <t>Correlation with Index</t>
  </si>
  <si>
    <t>R Squared (Market Determination)</t>
  </si>
  <si>
    <t>1-R Squared (Firms Specific)</t>
  </si>
  <si>
    <t>Correl of Residuals</t>
  </si>
  <si>
    <t>EPS (TTM)</t>
  </si>
  <si>
    <t>PE Ratio (TTM)</t>
  </si>
  <si>
    <t>1y Forward Dividend ($)</t>
  </si>
  <si>
    <t>1y Forward Dividend Yield (%)</t>
  </si>
  <si>
    <t>Amazon (AMZN)</t>
  </si>
  <si>
    <t>Dates</t>
  </si>
  <si>
    <t>Prices</t>
  </si>
  <si>
    <t>Monthly
rate</t>
  </si>
  <si>
    <t>Exces 
return</t>
  </si>
  <si>
    <t>Mkt Prem. Systematic component</t>
  </si>
  <si>
    <t>Residuals. Unsystematic component</t>
  </si>
  <si>
    <t>Asset Classes Allocation Analysis: Optimal Complete Pf Model</t>
  </si>
  <si>
    <t>Capital Allocation &gt; Asset Classes Allocation &gt; Security Selection</t>
  </si>
  <si>
    <t>Securities</t>
  </si>
  <si>
    <t>Expected Return</t>
  </si>
  <si>
    <t>Corr. Coefficient B,E</t>
  </si>
  <si>
    <t>Covariance B,E</t>
  </si>
  <si>
    <t>T-Bill</t>
  </si>
  <si>
    <t>Risky Asset Portfolio: Weights</t>
  </si>
  <si>
    <t>Reward to Variability</t>
  </si>
  <si>
    <t>Bond weight</t>
  </si>
  <si>
    <t>Equity weight</t>
  </si>
  <si>
    <t>(Sharpe ratio)</t>
  </si>
  <si>
    <t>short-not allowed</t>
  </si>
  <si>
    <t>B. Optimal Risky Portfolio. Maximum of Sharpe ratio</t>
  </si>
  <si>
    <t>Max. of Sharpe Ratio</t>
  </si>
  <si>
    <t>Weight y: Optimal Risky Portfolio</t>
  </si>
  <si>
    <t>Weight (1-y): Risk-Free Asset</t>
  </si>
  <si>
    <t>Bond weight in the Optimal Complete Pf</t>
  </si>
  <si>
    <t>Equity weight in the Optimal Complete Pf</t>
  </si>
  <si>
    <t>E(rc): expected return of the Complete pf</t>
  </si>
  <si>
    <t>𝜎 c: SD of Complete pf</t>
  </si>
  <si>
    <t>Sharpe Ratio (Max. Slope of CAL)</t>
  </si>
  <si>
    <t xml:space="preserve"> </t>
  </si>
  <si>
    <t>Capital Allocation. Optimal Captial Allocation using Maixum Utility</t>
  </si>
  <si>
    <t>Risky Pf (P) only</t>
  </si>
  <si>
    <t>rf: rate of return of risk-free asset</t>
  </si>
  <si>
    <t>E(Rp): expected return of risky pf</t>
  </si>
  <si>
    <r>
      <rPr>
        <b/>
        <sz val="12"/>
        <rFont val="Times New Roman"/>
        <family val="1"/>
      </rPr>
      <t>𝜎 p</t>
    </r>
    <r>
      <rPr>
        <sz val="12"/>
        <rFont val="Times New Roman"/>
        <family val="1"/>
      </rPr>
      <t>: SD of risky pf</t>
    </r>
  </si>
  <si>
    <t>Complete Pf (C). Risk free + Risky Pf</t>
  </si>
  <si>
    <t>y: weight of risky pf</t>
  </si>
  <si>
    <t>1-y: weight of risk free asset</t>
  </si>
  <si>
    <t>Equity Pf (E)</t>
  </si>
  <si>
    <t>Bond Pf (B)</t>
  </si>
  <si>
    <t>Equity Pf</t>
  </si>
  <si>
    <t>Active Pf Weights* (Index model)</t>
  </si>
  <si>
    <t xml:space="preserve">Risk Tolerance Score </t>
  </si>
  <si>
    <t xml:space="preserve">Utility at the risk aversion level </t>
  </si>
  <si>
    <t>C. Optimal Complete Portfolio with U w/ Risk-Free Asset</t>
  </si>
  <si>
    <t>Risk Aversion Index (A: 1~20)*</t>
  </si>
  <si>
    <t xml:space="preserve">Expected excess return </t>
  </si>
  <si>
    <t>Alpha (Non-market risk premium in the index model)</t>
  </si>
  <si>
    <r>
      <t>s</t>
    </r>
    <r>
      <rPr>
        <vertAlign val="superscript"/>
        <sz val="12"/>
        <rFont val="Verdana"/>
        <family val="2"/>
      </rPr>
      <t>2</t>
    </r>
    <r>
      <rPr>
        <sz val="12"/>
        <rFont val="Verdana"/>
        <family val="2"/>
      </rPr>
      <t>(</t>
    </r>
    <r>
      <rPr>
        <i/>
        <sz val="12"/>
        <rFont val="Aptos Narrow"/>
        <family val="2"/>
        <scheme val="minor"/>
      </rPr>
      <t>e</t>
    </r>
    <r>
      <rPr>
        <sz val="12"/>
        <rFont val="Verdana"/>
        <family val="2"/>
      </rPr>
      <t>)</t>
    </r>
  </si>
  <si>
    <r>
      <rPr>
        <i/>
        <sz val="12"/>
        <rFont val="Aptos Narrow"/>
        <family val="2"/>
        <scheme val="minor"/>
      </rPr>
      <t>w</t>
    </r>
    <r>
      <rPr>
        <i/>
        <vertAlign val="subscript"/>
        <sz val="12"/>
        <rFont val="Aptos Narrow"/>
        <family val="2"/>
        <scheme val="minor"/>
      </rPr>
      <t>i</t>
    </r>
    <r>
      <rPr>
        <sz val="12"/>
        <rFont val="Symbol"/>
        <family val="1"/>
        <charset val="2"/>
      </rPr>
      <t>(</t>
    </r>
    <r>
      <rPr>
        <sz val="12"/>
        <rFont val="Aptos Narrow"/>
        <family val="2"/>
        <scheme val="minor"/>
      </rPr>
      <t>0</t>
    </r>
    <r>
      <rPr>
        <sz val="12"/>
        <rFont val="Symbol"/>
        <family val="1"/>
        <charset val="2"/>
      </rPr>
      <t>) = a</t>
    </r>
    <r>
      <rPr>
        <i/>
        <vertAlign val="subscript"/>
        <sz val="12"/>
        <rFont val="Aptos Narrow"/>
        <family val="2"/>
        <scheme val="minor"/>
      </rPr>
      <t>i</t>
    </r>
    <r>
      <rPr>
        <sz val="12"/>
        <rFont val="Symbol"/>
        <family val="1"/>
        <charset val="2"/>
      </rPr>
      <t>/s</t>
    </r>
    <r>
      <rPr>
        <vertAlign val="superscript"/>
        <sz val="12"/>
        <rFont val="Symbol"/>
        <family val="1"/>
        <charset val="2"/>
      </rPr>
      <t>2</t>
    </r>
    <r>
      <rPr>
        <sz val="12"/>
        <rFont val="Symbol"/>
        <family val="1"/>
        <charset val="2"/>
      </rPr>
      <t>(</t>
    </r>
    <r>
      <rPr>
        <i/>
        <sz val="12"/>
        <rFont val="Aptos Narrow"/>
        <family val="2"/>
        <scheme val="minor"/>
      </rPr>
      <t>e</t>
    </r>
    <r>
      <rPr>
        <sz val="12"/>
        <rFont val="Symbol"/>
        <family val="1"/>
        <charset val="2"/>
      </rPr>
      <t>)</t>
    </r>
  </si>
  <si>
    <r>
      <t>w</t>
    </r>
    <r>
      <rPr>
        <i/>
        <vertAlign val="subscript"/>
        <sz val="12"/>
        <rFont val="Aptos Narrow"/>
        <family val="2"/>
        <scheme val="minor"/>
      </rPr>
      <t>i</t>
    </r>
  </si>
  <si>
    <r>
      <t>[</t>
    </r>
    <r>
      <rPr>
        <i/>
        <sz val="12"/>
        <rFont val="Aptos Narrow"/>
        <family val="2"/>
        <scheme val="minor"/>
      </rPr>
      <t>w</t>
    </r>
    <r>
      <rPr>
        <i/>
        <vertAlign val="subscript"/>
        <sz val="12"/>
        <rFont val="Aptos Narrow"/>
        <family val="2"/>
        <scheme val="minor"/>
      </rPr>
      <t>i</t>
    </r>
    <r>
      <rPr>
        <sz val="12"/>
        <rFont val="Aptos Narrow"/>
        <family val="2"/>
        <scheme val="minor"/>
      </rPr>
      <t>(0)]</t>
    </r>
    <r>
      <rPr>
        <vertAlign val="superscript"/>
        <sz val="12"/>
        <rFont val="Aptos Narrow"/>
        <family val="2"/>
        <scheme val="minor"/>
      </rPr>
      <t>2</t>
    </r>
  </si>
  <si>
    <r>
      <t>a</t>
    </r>
    <r>
      <rPr>
        <i/>
        <vertAlign val="subscript"/>
        <sz val="12"/>
        <rFont val="Aptos Narrow"/>
        <family val="2"/>
        <scheme val="minor"/>
      </rPr>
      <t>A</t>
    </r>
    <r>
      <rPr>
        <sz val="12"/>
        <rFont val="Symbol"/>
        <family val="1"/>
        <charset val="2"/>
      </rPr>
      <t xml:space="preserve"> </t>
    </r>
  </si>
  <si>
    <r>
      <t>s</t>
    </r>
    <r>
      <rPr>
        <vertAlign val="superscript"/>
        <sz val="12"/>
        <rFont val="Symbol"/>
        <family val="1"/>
        <charset val="2"/>
      </rPr>
      <t>2</t>
    </r>
    <r>
      <rPr>
        <sz val="12"/>
        <rFont val="Verdana"/>
        <family val="2"/>
      </rPr>
      <t>(</t>
    </r>
    <r>
      <rPr>
        <i/>
        <sz val="12"/>
        <rFont val="Aptos Narrow"/>
        <family val="2"/>
        <scheme val="minor"/>
      </rPr>
      <t>e</t>
    </r>
    <r>
      <rPr>
        <i/>
        <vertAlign val="subscript"/>
        <sz val="12"/>
        <rFont val="Verdana"/>
        <family val="2"/>
      </rPr>
      <t>A</t>
    </r>
    <r>
      <rPr>
        <sz val="12"/>
        <rFont val="Verdana"/>
        <family val="2"/>
      </rPr>
      <t>)</t>
    </r>
  </si>
  <si>
    <r>
      <t>a</t>
    </r>
    <r>
      <rPr>
        <sz val="9"/>
        <rFont val="Symbol"/>
        <charset val="2"/>
      </rPr>
      <t>A</t>
    </r>
    <r>
      <rPr>
        <sz val="12"/>
        <rFont val="Symbol"/>
        <family val="1"/>
        <charset val="2"/>
      </rPr>
      <t xml:space="preserve">  / s</t>
    </r>
    <r>
      <rPr>
        <vertAlign val="superscript"/>
        <sz val="12"/>
        <rFont val="Symbol"/>
        <family val="1"/>
        <charset val="2"/>
      </rPr>
      <t>2</t>
    </r>
    <r>
      <rPr>
        <sz val="12"/>
        <rFont val="Verdana"/>
        <family val="2"/>
      </rPr>
      <t>(</t>
    </r>
    <r>
      <rPr>
        <i/>
        <sz val="12"/>
        <rFont val="Aptos Narrow"/>
        <family val="2"/>
        <scheme val="minor"/>
      </rPr>
      <t>e</t>
    </r>
    <r>
      <rPr>
        <i/>
        <vertAlign val="subscript"/>
        <sz val="12"/>
        <rFont val="Verdana"/>
        <family val="2"/>
      </rPr>
      <t>A</t>
    </r>
    <r>
      <rPr>
        <sz val="12"/>
        <rFont val="Verdana"/>
        <family val="2"/>
      </rPr>
      <t>)</t>
    </r>
  </si>
  <si>
    <r>
      <t>E(R</t>
    </r>
    <r>
      <rPr>
        <i/>
        <vertAlign val="subscript"/>
        <sz val="12"/>
        <color theme="1"/>
        <rFont val="Aptos Narrow"/>
        <family val="2"/>
        <scheme val="minor"/>
      </rPr>
      <t>M</t>
    </r>
    <r>
      <rPr>
        <i/>
        <sz val="12"/>
        <color theme="1"/>
        <rFont val="Aptos Narrow"/>
        <family val="2"/>
        <scheme val="minor"/>
      </rPr>
      <t>)</t>
    </r>
    <r>
      <rPr>
        <sz val="12"/>
        <color theme="1"/>
        <rFont val="TimesNewRomanPSMT"/>
        <family val="2"/>
      </rPr>
      <t>/</t>
    </r>
    <r>
      <rPr>
        <sz val="12"/>
        <color theme="1"/>
        <rFont val="Symbol"/>
        <family val="1"/>
        <charset val="2"/>
      </rPr>
      <t>s</t>
    </r>
    <r>
      <rPr>
        <i/>
        <vertAlign val="superscript"/>
        <sz val="12"/>
        <color theme="1"/>
        <rFont val="Aptos Narrow"/>
        <family val="2"/>
        <scheme val="minor"/>
      </rPr>
      <t>2</t>
    </r>
    <r>
      <rPr>
        <sz val="12"/>
        <color theme="1"/>
        <rFont val="TimesNewRomanPSMT"/>
        <family val="2"/>
      </rPr>
      <t>(</t>
    </r>
    <r>
      <rPr>
        <i/>
        <sz val="12"/>
        <color theme="1"/>
        <rFont val="Aptos Narrow"/>
        <family val="2"/>
        <scheme val="minor"/>
      </rPr>
      <t>M</t>
    </r>
    <r>
      <rPr>
        <sz val="12"/>
        <color theme="1"/>
        <rFont val="TimesNewRomanPSMT"/>
        <family val="2"/>
      </rPr>
      <t>)</t>
    </r>
  </si>
  <si>
    <r>
      <rPr>
        <i/>
        <sz val="12"/>
        <rFont val="Times New Roman"/>
        <family val="1"/>
      </rPr>
      <t>w</t>
    </r>
    <r>
      <rPr>
        <i/>
        <vertAlign val="subscript"/>
        <sz val="12"/>
        <rFont val="Times New Roman"/>
        <family val="1"/>
      </rPr>
      <t>A</t>
    </r>
    <r>
      <rPr>
        <sz val="12"/>
        <rFont val="Times New Roman"/>
        <family val="1"/>
      </rPr>
      <t>(0)</t>
    </r>
  </si>
  <si>
    <r>
      <t>b</t>
    </r>
    <r>
      <rPr>
        <i/>
        <vertAlign val="subscript"/>
        <sz val="12"/>
        <rFont val="Aptos Narrow"/>
        <family val="2"/>
        <scheme val="minor"/>
      </rPr>
      <t>A</t>
    </r>
  </si>
  <si>
    <t>w*(Optimal Pf): Short not allowed</t>
  </si>
  <si>
    <t>Min. Standard Deviation</t>
  </si>
  <si>
    <t>E(rc): expected return of the Overall Complete pf</t>
  </si>
  <si>
    <t>𝜎 c: SD of Overall Complete pf</t>
  </si>
  <si>
    <t xml:space="preserve">Index Portfolio Model. SPDR + Active Portfolio (Large Growth) </t>
  </si>
  <si>
    <t>Adjusted Alpha</t>
  </si>
  <si>
    <t xml:space="preserve">Adjusted Market risk premium =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</si>
  <si>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</si>
  <si>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</si>
  <si>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</si>
  <si>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</si>
  <si>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</si>
  <si>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</si>
  <si>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</si>
  <si>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</si>
  <si>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</si>
  <si>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</si>
  <si>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</si>
  <si>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</si>
  <si>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</si>
  <si>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</si>
  <si>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</si>
  <si>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</si>
  <si>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Coefficients</t>
  </si>
  <si>
    <t>t Stat</t>
  </si>
  <si>
    <t>P-value</t>
  </si>
  <si>
    <t>X Variable 1</t>
  </si>
  <si>
    <t>Alpha in CAPM (10 yrs market premium)</t>
  </si>
  <si>
    <r>
      <t xml:space="preserve">Total Equity Risk Premium </t>
    </r>
    <r>
      <rPr>
        <b/>
        <i/>
        <sz val="12"/>
        <color theme="1"/>
        <rFont val="Times New Roman"/>
        <family val="1"/>
      </rPr>
      <t>E(R)</t>
    </r>
  </si>
  <si>
    <t>Adjusted Alpha (a x avg. Market PE / Stock PE)</t>
  </si>
  <si>
    <t>Adjusted Alpha in CAPM  (a x avg. Market PE / Stock PE)</t>
  </si>
  <si>
    <t>E(rc) on CAL</t>
  </si>
  <si>
    <t>𝜎 c</t>
  </si>
  <si>
    <t>E(rc) on Indiff.</t>
  </si>
  <si>
    <t>W of risky pf: y</t>
  </si>
  <si>
    <t>Utiliity</t>
  </si>
  <si>
    <t>Max. U</t>
  </si>
  <si>
    <t>Slope: Capital Allocation Line ( Sharpe)</t>
  </si>
  <si>
    <t xml:space="preserve">A. Minimum Variance Portfolio of Risky Assets </t>
  </si>
  <si>
    <t>Benchmark
 Exces 
return</t>
  </si>
  <si>
    <t>Adjusted Price of Equity Pf
(Back data)</t>
  </si>
  <si>
    <t>Active Pf Exces 
return 
(Back data)</t>
  </si>
  <si>
    <t>Efficient Frontier meets CAL with Optimal Risky Pf</t>
  </si>
  <si>
    <t>1y Target return `</t>
  </si>
  <si>
    <t>1y Target Est. (Consensus)</t>
  </si>
  <si>
    <t>Small / Medium / Large</t>
  </si>
  <si>
    <t>Value / Blend / Growth</t>
  </si>
  <si>
    <t>Stock Info.</t>
  </si>
  <si>
    <t>Pf Style.</t>
  </si>
  <si>
    <t>Sector (industry)</t>
  </si>
  <si>
    <t>Themes</t>
  </si>
  <si>
    <t>Credit (Investment / High Yield)</t>
  </si>
  <si>
    <t>Duration (longer / shorter)</t>
  </si>
  <si>
    <t>Issuers (Corporate / Government)</t>
  </si>
  <si>
    <t>Inflation / close-ended / sector…</t>
  </si>
  <si>
    <t>Maturity</t>
  </si>
  <si>
    <t>Coupon ($100 par)</t>
  </si>
  <si>
    <t>Yield to maturity</t>
  </si>
  <si>
    <t>Coupon (frequency)</t>
  </si>
  <si>
    <t>Semiannual</t>
  </si>
  <si>
    <t xml:space="preserve">Convexity (C) </t>
  </si>
  <si>
    <t>Current Bond Price</t>
  </si>
  <si>
    <t>Modified Duration (D*)</t>
  </si>
  <si>
    <t>Changes in YTM</t>
  </si>
  <si>
    <t>with D* only</t>
  </si>
  <si>
    <t>Bond Price change</t>
  </si>
  <si>
    <t xml:space="preserve">with D* and Convexity </t>
  </si>
  <si>
    <t>YTM down 100bps</t>
  </si>
  <si>
    <t>Selectivity (%)</t>
  </si>
  <si>
    <t>Diversification Effect (%)</t>
  </si>
  <si>
    <t>Net Selectivity (%)</t>
  </si>
  <si>
    <t>net Risk Premium of Pf</t>
  </si>
  <si>
    <t xml:space="preserve">Overall Performance </t>
  </si>
  <si>
    <t xml:space="preserve">CAPM </t>
  </si>
  <si>
    <t>Ratio of total risk (𝜎p/𝜎m)</t>
  </si>
  <si>
    <t>CML</t>
  </si>
  <si>
    <t>Performance Measures</t>
  </si>
  <si>
    <t xml:space="preserve">Panel E. Macro Forecast and Alpha Forecasts </t>
  </si>
  <si>
    <r>
      <t>Treynor Measure (</t>
    </r>
    <r>
      <rPr>
        <b/>
        <i/>
        <sz val="12"/>
        <color theme="1"/>
        <rFont val="Times New Roman"/>
        <family val="1"/>
      </rPr>
      <t>T</t>
    </r>
    <r>
      <rPr>
        <b/>
        <sz val="12"/>
        <color theme="1"/>
        <rFont val="Times New Roman"/>
        <family val="1"/>
      </rPr>
      <t>)</t>
    </r>
  </si>
  <si>
    <r>
      <t>Jensen Measure (</t>
    </r>
    <r>
      <rPr>
        <b/>
        <i/>
        <sz val="12"/>
        <color theme="1"/>
        <rFont val="Times New Roman"/>
        <family val="1"/>
      </rPr>
      <t>a</t>
    </r>
    <r>
      <rPr>
        <b/>
        <sz val="12"/>
        <color theme="1"/>
        <rFont val="Times New Roman"/>
        <family val="1"/>
      </rPr>
      <t>)</t>
    </r>
  </si>
  <si>
    <r>
      <t>Information Ratio Measure (</t>
    </r>
    <r>
      <rPr>
        <b/>
        <i/>
        <sz val="12"/>
        <color theme="1"/>
        <rFont val="Times New Roman"/>
        <family val="1"/>
      </rPr>
      <t>IR</t>
    </r>
    <r>
      <rPr>
        <b/>
        <sz val="12"/>
        <color theme="1"/>
        <rFont val="Times New Roman"/>
        <family val="1"/>
      </rPr>
      <t>)</t>
    </r>
  </si>
  <si>
    <r>
      <t>Sharpe Ratio (</t>
    </r>
    <r>
      <rPr>
        <b/>
        <i/>
        <sz val="12"/>
        <color theme="1"/>
        <rFont val="Times New Roman"/>
        <family val="1"/>
      </rPr>
      <t>S</t>
    </r>
    <r>
      <rPr>
        <b/>
        <sz val="12"/>
        <color theme="1"/>
        <rFont val="Times New Roman"/>
        <family val="1"/>
      </rPr>
      <t>)</t>
    </r>
  </si>
  <si>
    <t>*Bear (1~5), Normal (1~10), Bull (1~20), Bubble (1~30)</t>
  </si>
  <si>
    <t>Benchmark Check</t>
  </si>
  <si>
    <t>Active Pf Excess Retun - Benchmark (Back Data)</t>
  </si>
  <si>
    <t>Tracking Error</t>
  </si>
  <si>
    <t>SD of TE</t>
  </si>
  <si>
    <t>Correlation</t>
  </si>
  <si>
    <t>R^2</t>
  </si>
  <si>
    <t>Slope (B)</t>
  </si>
  <si>
    <t xml:space="preserve">AMZN </t>
  </si>
  <si>
    <t xml:space="preserve">TSLA </t>
  </si>
  <si>
    <t>COST</t>
  </si>
  <si>
    <t>BKNG</t>
  </si>
  <si>
    <t xml:space="preserve">HD </t>
  </si>
  <si>
    <t>SBUX</t>
  </si>
  <si>
    <t>WMT</t>
  </si>
  <si>
    <t>IYC</t>
  </si>
  <si>
    <t>iShares U.S. Consumer Discretionary ETF (IYC)</t>
  </si>
  <si>
    <t>Tesla (TSLA)</t>
  </si>
  <si>
    <t>Costco (COST)</t>
  </si>
  <si>
    <t>Booking Holdings (BKNG)</t>
  </si>
  <si>
    <t>Home Depot (HD)</t>
  </si>
  <si>
    <t>Excess
return</t>
  </si>
  <si>
    <t>Starbucks (SBUX)</t>
  </si>
  <si>
    <t>Walmart (WMT)</t>
  </si>
  <si>
    <t>NFLX</t>
  </si>
  <si>
    <t>Netflix (NFLX)</t>
  </si>
  <si>
    <t>Current Stock Price (as of March 31st)</t>
  </si>
  <si>
    <t>Blend</t>
  </si>
  <si>
    <t>Large</t>
  </si>
  <si>
    <t>Growth</t>
  </si>
  <si>
    <t>Consumer Discretionary</t>
  </si>
  <si>
    <t>Consumer Staples</t>
  </si>
  <si>
    <t>Communication</t>
  </si>
  <si>
    <t>E commerce</t>
  </si>
  <si>
    <t>Renewable Energy</t>
  </si>
  <si>
    <t>Retail</t>
  </si>
  <si>
    <t xml:space="preserve">Streaming </t>
  </si>
  <si>
    <t>Travel</t>
  </si>
  <si>
    <t>120 months</t>
  </si>
  <si>
    <t>Large Growth</t>
  </si>
  <si>
    <t>p&lt;0.1</t>
  </si>
  <si>
    <t>t&gt;1.69</t>
  </si>
  <si>
    <t>IGSB</t>
  </si>
  <si>
    <t>HD</t>
  </si>
  <si>
    <t>Bond Pf (IGSB)</t>
  </si>
  <si>
    <t>Calculate the approximate price change for a IGSB using only its D* and using D* and Convexity</t>
  </si>
  <si>
    <t>IGSB has the following characteristics: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</si>
</sst>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&quot;$&quot;#,##0.00_);[Red]\(&quot;$&quot;#,##0.00\)"/>
    <numFmt numFmtId="165" formatCode="0.0000"/>
    <numFmt numFmtId="166" formatCode="0.000000"/>
    <numFmt numFmtId="167" formatCode="_(* #,##0.0000_);_(* \(#,##0.0000\);_(* &quot;-&quot;??_);_(@_)"/>
    <numFmt numFmtId="168" formatCode="_(* #,##0.000000_);_(* \(#,##0.000000\);_(* &quot;-&quot;??_);_(@_)"/>
    <numFmt numFmtId="169" formatCode="_(* #,##0.00000_);_(* \(#,##0.00000\);_(* &quot;-&quot;??_);_(@_)"/>
    <numFmt numFmtId="170" formatCode="0.0"/>
    <numFmt numFmtId="171" formatCode="0.00000"/>
    <numFmt numFmtId="172" formatCode="0.0000%"/>
    <numFmt numFmtId="173" formatCode="0.000%"/>
  </numFmts>
  <fonts count="61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i/>
      <sz val="12"/>
      <color rgb="FFC00000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C00000"/>
      <name val="Times New Roman"/>
      <family val="1"/>
    </font>
    <font>
      <b/>
      <i/>
      <sz val="12"/>
      <color theme="1"/>
      <name val="Times New Roman"/>
      <family val="1"/>
    </font>
    <font>
      <sz val="12"/>
      <name val="Symbol"/>
      <family val="1"/>
      <charset val="2"/>
    </font>
    <font>
      <i/>
      <sz val="12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C00000"/>
      <name val="Times New Roman"/>
      <family val="1"/>
    </font>
    <font>
      <b/>
      <sz val="26"/>
      <color theme="1"/>
      <name val="Times New Roman"/>
      <family val="1"/>
    </font>
    <font>
      <sz val="12"/>
      <color theme="0"/>
      <name val="Times New Roman"/>
      <family val="1"/>
    </font>
    <font>
      <b/>
      <sz val="22"/>
      <color theme="1"/>
      <name val="Times New Roman"/>
      <family val="1"/>
    </font>
    <font>
      <b/>
      <sz val="16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24"/>
      <color theme="3"/>
      <name val="Times New Roman"/>
      <family val="1"/>
    </font>
    <font>
      <sz val="8"/>
      <name val="Cambria"/>
      <family val="1"/>
    </font>
    <font>
      <sz val="10"/>
      <name val="Arial"/>
      <family val="2"/>
    </font>
    <font>
      <b/>
      <sz val="24"/>
      <color theme="4" tint="-0.499984740745262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sz val="12"/>
      <color rgb="FFC00000"/>
      <name val="Times New Roman"/>
      <family val="1"/>
    </font>
    <font>
      <b/>
      <i/>
      <sz val="12"/>
      <color theme="0"/>
      <name val="Times New Roman"/>
      <family val="1"/>
    </font>
    <font>
      <sz val="8"/>
      <name val="Times New Roman"/>
      <family val="1"/>
    </font>
    <font>
      <b/>
      <sz val="10"/>
      <color rgb="FFC00000"/>
      <name val="Times New Roman"/>
      <family val="1"/>
    </font>
    <font>
      <b/>
      <sz val="12"/>
      <color theme="5" tint="-0.249977111117893"/>
      <name val="Times New Roman"/>
      <family val="1"/>
    </font>
    <font>
      <vertAlign val="superscript"/>
      <sz val="12"/>
      <name val="Verdana"/>
      <family val="2"/>
    </font>
    <font>
      <sz val="12"/>
      <name val="Verdana"/>
      <family val="2"/>
    </font>
    <font>
      <i/>
      <vertAlign val="subscript"/>
      <sz val="12"/>
      <name val="Aptos Narrow"/>
      <family val="2"/>
      <scheme val="minor"/>
    </font>
    <font>
      <vertAlign val="superscript"/>
      <sz val="12"/>
      <name val="Symbol"/>
      <family val="1"/>
      <charset val="2"/>
    </font>
    <font>
      <vertAlign val="superscript"/>
      <sz val="12"/>
      <name val="Aptos Narrow"/>
      <family val="2"/>
      <scheme val="minor"/>
    </font>
    <font>
      <i/>
      <vertAlign val="subscript"/>
      <sz val="12"/>
      <name val="Verdana"/>
      <family val="2"/>
    </font>
    <font>
      <sz val="9"/>
      <name val="Symbol"/>
      <charset val="2"/>
    </font>
    <font>
      <i/>
      <vertAlign val="subscript"/>
      <sz val="12"/>
      <color theme="1"/>
      <name val="Aptos Narrow"/>
      <family val="2"/>
      <scheme val="minor"/>
    </font>
    <font>
      <sz val="12"/>
      <color theme="1"/>
      <name val="Symbol"/>
      <family val="1"/>
      <charset val="2"/>
    </font>
    <font>
      <i/>
      <vertAlign val="superscript"/>
      <sz val="12"/>
      <color theme="1"/>
      <name val="Aptos Narrow"/>
      <family val="2"/>
      <scheme val="minor"/>
    </font>
    <font>
      <i/>
      <sz val="12"/>
      <name val="Times New Roman"/>
      <family val="1"/>
    </font>
    <font>
      <i/>
      <vertAlign val="subscript"/>
      <sz val="12"/>
      <name val="Times New Roman"/>
      <family val="1"/>
    </font>
    <font>
      <i/>
      <sz val="10"/>
      <name val="Times New Roman"/>
      <family val="1"/>
    </font>
    <font>
      <i/>
      <sz val="12"/>
      <color theme="1"/>
      <name val="TimesNewRomanPSMT"/>
      <family val="2"/>
    </font>
    <font>
      <b/>
      <sz val="20"/>
      <color theme="4" tint="-0.499984740745262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NewRomanPSM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imesNewRomanPSMT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21">
    <xf numFmtId="0" fontId="0" fillId="0" borderId="0" xfId="0"/>
    <xf numFmtId="43" fontId="4" fillId="0" borderId="0" xfId="3" applyFont="1" applyBorder="1" applyAlignment="1">
      <alignment vertical="center"/>
    </xf>
    <xf numFmtId="43" fontId="5" fillId="0" borderId="0" xfId="3" applyFont="1" applyBorder="1" applyAlignment="1">
      <alignment vertical="center"/>
    </xf>
    <xf numFmtId="43" fontId="4" fillId="0" borderId="0" xfId="3" applyFont="1" applyAlignment="1">
      <alignment vertical="center"/>
    </xf>
    <xf numFmtId="0" fontId="7" fillId="0" borderId="0" xfId="4" applyFont="1" applyAlignment="1">
      <alignment vertical="center"/>
    </xf>
    <xf numFmtId="0" fontId="8" fillId="0" borderId="1" xfId="4" applyFont="1" applyBorder="1" applyAlignment="1">
      <alignment vertical="center"/>
    </xf>
    <xf numFmtId="0" fontId="7" fillId="0" borderId="1" xfId="4" applyFont="1" applyBorder="1" applyAlignment="1">
      <alignment vertical="center"/>
    </xf>
    <xf numFmtId="0" fontId="8" fillId="0" borderId="3" xfId="4" applyFont="1" applyBorder="1" applyAlignment="1">
      <alignment horizontal="left" vertical="center" wrapText="1"/>
    </xf>
    <xf numFmtId="165" fontId="7" fillId="0" borderId="0" xfId="4" applyNumberFormat="1" applyFont="1" applyAlignment="1">
      <alignment horizontal="right" vertical="center"/>
    </xf>
    <xf numFmtId="165" fontId="7" fillId="2" borderId="0" xfId="4" applyNumberFormat="1" applyFont="1" applyFill="1" applyAlignment="1">
      <alignment horizontal="right" vertical="center"/>
    </xf>
    <xf numFmtId="0" fontId="8" fillId="0" borderId="0" xfId="4" applyFont="1" applyAlignment="1">
      <alignment horizontal="left" vertical="center" wrapText="1"/>
    </xf>
    <xf numFmtId="165" fontId="7" fillId="0" borderId="1" xfId="4" applyNumberFormat="1" applyFont="1" applyBorder="1" applyAlignment="1">
      <alignment horizontal="right" vertical="center"/>
    </xf>
    <xf numFmtId="0" fontId="8" fillId="0" borderId="3" xfId="5" applyFont="1" applyBorder="1" applyAlignment="1">
      <alignment horizontal="left" vertical="center"/>
    </xf>
    <xf numFmtId="0" fontId="8" fillId="0" borderId="3" xfId="4" applyFont="1" applyBorder="1" applyAlignment="1">
      <alignment vertical="center"/>
    </xf>
    <xf numFmtId="0" fontId="10" fillId="0" borderId="0" xfId="4" applyFont="1" applyAlignment="1">
      <alignment vertical="center"/>
    </xf>
    <xf numFmtId="0" fontId="8" fillId="0" borderId="4" xfId="4" applyFont="1" applyBorder="1" applyAlignment="1">
      <alignment vertical="center"/>
    </xf>
    <xf numFmtId="0" fontId="8" fillId="0" borderId="0" xfId="4" applyFont="1" applyAlignment="1">
      <alignment horizontal="left" vertical="center"/>
    </xf>
    <xf numFmtId="166" fontId="7" fillId="0" borderId="0" xfId="4" applyNumberFormat="1" applyFont="1" applyAlignment="1">
      <alignment vertical="center"/>
    </xf>
    <xf numFmtId="0" fontId="12" fillId="0" borderId="3" xfId="5" applyFont="1" applyBorder="1" applyAlignment="1">
      <alignment vertical="center"/>
    </xf>
    <xf numFmtId="0" fontId="7" fillId="0" borderId="9" xfId="4" applyFont="1" applyBorder="1" applyAlignment="1">
      <alignment vertical="center"/>
    </xf>
    <xf numFmtId="0" fontId="7" fillId="0" borderId="3" xfId="4" applyFont="1" applyBorder="1" applyAlignment="1">
      <alignment horizontal="right" vertical="center"/>
    </xf>
    <xf numFmtId="0" fontId="13" fillId="0" borderId="3" xfId="5" applyFont="1" applyBorder="1" applyAlignment="1">
      <alignment vertical="center"/>
    </xf>
    <xf numFmtId="0" fontId="14" fillId="0" borderId="4" xfId="5" applyFont="1" applyBorder="1" applyAlignment="1">
      <alignment vertical="center"/>
    </xf>
    <xf numFmtId="0" fontId="7" fillId="0" borderId="10" xfId="4" applyFont="1" applyBorder="1" applyAlignment="1">
      <alignment vertical="center"/>
    </xf>
    <xf numFmtId="165" fontId="7" fillId="0" borderId="4" xfId="4" applyNumberFormat="1" applyFont="1" applyBorder="1" applyAlignment="1">
      <alignment vertical="center"/>
    </xf>
    <xf numFmtId="0" fontId="15" fillId="0" borderId="3" xfId="5" applyFont="1" applyBorder="1" applyAlignment="1">
      <alignment vertical="center"/>
    </xf>
    <xf numFmtId="0" fontId="4" fillId="0" borderId="3" xfId="5" applyFont="1" applyBorder="1" applyAlignment="1">
      <alignment vertical="center"/>
    </xf>
    <xf numFmtId="0" fontId="8" fillId="0" borderId="0" xfId="4" applyFont="1" applyAlignment="1">
      <alignment vertical="center"/>
    </xf>
    <xf numFmtId="165" fontId="7" fillId="0" borderId="0" xfId="4" applyNumberFormat="1" applyFont="1" applyAlignment="1">
      <alignment vertical="center"/>
    </xf>
    <xf numFmtId="0" fontId="7" fillId="0" borderId="1" xfId="4" applyFont="1" applyBorder="1" applyAlignment="1">
      <alignment horizontal="right" vertical="center"/>
    </xf>
    <xf numFmtId="0" fontId="17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0" fontId="6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horizontal="right" vertical="center"/>
    </xf>
    <xf numFmtId="0" fontId="7" fillId="0" borderId="1" xfId="6" applyFont="1" applyBorder="1" applyAlignment="1">
      <alignment vertical="center"/>
    </xf>
    <xf numFmtId="0" fontId="18" fillId="0" borderId="1" xfId="6" applyFont="1" applyBorder="1" applyAlignment="1">
      <alignment vertical="center"/>
    </xf>
    <xf numFmtId="0" fontId="22" fillId="3" borderId="1" xfId="6" applyFont="1" applyFill="1" applyBorder="1" applyAlignment="1">
      <alignment vertical="center"/>
    </xf>
    <xf numFmtId="0" fontId="9" fillId="3" borderId="1" xfId="6" applyFont="1" applyFill="1" applyBorder="1" applyAlignment="1">
      <alignment vertical="center"/>
    </xf>
    <xf numFmtId="0" fontId="9" fillId="3" borderId="4" xfId="6" applyFont="1" applyFill="1" applyBorder="1" applyAlignment="1">
      <alignment vertical="center"/>
    </xf>
    <xf numFmtId="0" fontId="9" fillId="3" borderId="1" xfId="6" applyFont="1" applyFill="1" applyBorder="1" applyAlignment="1">
      <alignment horizontal="right" vertical="center"/>
    </xf>
    <xf numFmtId="0" fontId="9" fillId="3" borderId="1" xfId="6" applyFont="1" applyFill="1" applyBorder="1" applyAlignment="1">
      <alignment horizontal="right" vertical="center" wrapText="1"/>
    </xf>
    <xf numFmtId="0" fontId="18" fillId="3" borderId="0" xfId="6" applyFont="1" applyFill="1" applyAlignment="1">
      <alignment vertical="center"/>
    </xf>
    <xf numFmtId="0" fontId="22" fillId="3" borderId="4" xfId="6" applyFont="1" applyFill="1" applyBorder="1" applyAlignment="1">
      <alignment horizontal="right" vertical="center"/>
    </xf>
    <xf numFmtId="0" fontId="8" fillId="0" borderId="0" xfId="6" applyFont="1" applyAlignment="1">
      <alignment vertical="center"/>
    </xf>
    <xf numFmtId="0" fontId="8" fillId="0" borderId="11" xfId="6" applyFont="1" applyBorder="1" applyAlignment="1">
      <alignment vertical="center"/>
    </xf>
    <xf numFmtId="165" fontId="7" fillId="2" borderId="0" xfId="3" applyNumberFormat="1" applyFont="1" applyFill="1" applyBorder="1" applyAlignment="1">
      <alignment vertical="center"/>
    </xf>
    <xf numFmtId="167" fontId="7" fillId="2" borderId="0" xfId="3" applyNumberFormat="1" applyFont="1" applyFill="1" applyAlignment="1">
      <alignment vertical="center"/>
    </xf>
    <xf numFmtId="167" fontId="8" fillId="0" borderId="0" xfId="3" applyNumberFormat="1" applyFont="1" applyFill="1" applyBorder="1" applyAlignment="1">
      <alignment horizontal="right" vertical="center" wrapText="1"/>
    </xf>
    <xf numFmtId="0" fontId="7" fillId="0" borderId="3" xfId="6" applyFont="1" applyBorder="1" applyAlignment="1">
      <alignment vertical="center"/>
    </xf>
    <xf numFmtId="167" fontId="7" fillId="2" borderId="0" xfId="3" applyNumberFormat="1" applyFont="1" applyFill="1" applyBorder="1" applyAlignment="1">
      <alignment vertical="center"/>
    </xf>
    <xf numFmtId="167" fontId="7" fillId="0" borderId="0" xfId="3" applyNumberFormat="1" applyFont="1" applyFill="1" applyBorder="1" applyAlignment="1">
      <alignment vertical="center"/>
    </xf>
    <xf numFmtId="0" fontId="8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165" fontId="7" fillId="0" borderId="1" xfId="3" applyNumberFormat="1" applyFont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43" fontId="7" fillId="0" borderId="0" xfId="3" applyFont="1" applyAlignment="1">
      <alignment vertical="center"/>
    </xf>
    <xf numFmtId="167" fontId="7" fillId="0" borderId="0" xfId="3" applyNumberFormat="1" applyFont="1" applyAlignment="1">
      <alignment vertical="center"/>
    </xf>
    <xf numFmtId="165" fontId="7" fillId="0" borderId="0" xfId="3" applyNumberFormat="1" applyFont="1" applyBorder="1" applyAlignment="1">
      <alignment vertical="center"/>
    </xf>
    <xf numFmtId="165" fontId="7" fillId="2" borderId="0" xfId="3" applyNumberFormat="1" applyFont="1" applyFill="1" applyBorder="1" applyAlignment="1">
      <alignment horizontal="right" vertical="center"/>
    </xf>
    <xf numFmtId="167" fontId="7" fillId="2" borderId="0" xfId="3" applyNumberFormat="1" applyFont="1" applyFill="1" applyBorder="1" applyAlignment="1">
      <alignment horizontal="right" vertical="center"/>
    </xf>
    <xf numFmtId="167" fontId="7" fillId="0" borderId="0" xfId="3" applyNumberFormat="1" applyFont="1" applyFill="1" applyBorder="1" applyAlignment="1">
      <alignment horizontal="right" vertical="center"/>
    </xf>
    <xf numFmtId="43" fontId="8" fillId="0" borderId="0" xfId="3" applyFont="1" applyFill="1" applyBorder="1" applyAlignment="1">
      <alignment horizontal="right" vertical="center"/>
    </xf>
    <xf numFmtId="168" fontId="7" fillId="0" borderId="0" xfId="3" applyNumberFormat="1" applyFont="1" applyFill="1" applyBorder="1" applyAlignment="1">
      <alignment vertical="center"/>
    </xf>
    <xf numFmtId="0" fontId="23" fillId="0" borderId="1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7" fillId="0" borderId="12" xfId="6" applyFont="1" applyBorder="1" applyAlignment="1">
      <alignment vertical="center"/>
    </xf>
    <xf numFmtId="0" fontId="23" fillId="0" borderId="0" xfId="6" applyFont="1" applyAlignment="1">
      <alignment vertical="center"/>
    </xf>
    <xf numFmtId="169" fontId="7" fillId="0" borderId="0" xfId="6" applyNumberFormat="1" applyFont="1" applyAlignment="1">
      <alignment vertical="center"/>
    </xf>
    <xf numFmtId="0" fontId="22" fillId="3" borderId="3" xfId="6" applyFont="1" applyFill="1" applyBorder="1" applyAlignment="1">
      <alignment horizontal="right" vertical="center"/>
    </xf>
    <xf numFmtId="0" fontId="24" fillId="0" borderId="4" xfId="6" applyFont="1" applyBorder="1" applyAlignment="1">
      <alignment horizontal="right" vertical="center" wrapText="1"/>
    </xf>
    <xf numFmtId="0" fontId="25" fillId="0" borderId="6" xfId="6" applyFont="1" applyBorder="1" applyAlignment="1">
      <alignment horizontal="right" vertical="center" wrapText="1"/>
    </xf>
    <xf numFmtId="0" fontId="25" fillId="0" borderId="1" xfId="6" applyFont="1" applyBorder="1" applyAlignment="1">
      <alignment horizontal="right" vertical="center" wrapText="1"/>
    </xf>
    <xf numFmtId="0" fontId="25" fillId="0" borderId="4" xfId="6" applyFont="1" applyBorder="1" applyAlignment="1">
      <alignment horizontal="right" vertical="center" wrapText="1"/>
    </xf>
    <xf numFmtId="0" fontId="7" fillId="0" borderId="0" xfId="6" applyFont="1" applyAlignment="1">
      <alignment vertical="center" wrapText="1"/>
    </xf>
    <xf numFmtId="0" fontId="26" fillId="0" borderId="0" xfId="6" applyFont="1" applyAlignment="1">
      <alignment vertical="center"/>
    </xf>
    <xf numFmtId="0" fontId="26" fillId="0" borderId="3" xfId="6" applyFont="1" applyBorder="1" applyAlignment="1">
      <alignment vertical="center"/>
    </xf>
    <xf numFmtId="10" fontId="26" fillId="2" borderId="0" xfId="8" applyNumberFormat="1" applyFont="1" applyFill="1" applyBorder="1" applyAlignment="1">
      <alignment vertical="center"/>
    </xf>
    <xf numFmtId="10" fontId="26" fillId="2" borderId="3" xfId="8" applyNumberFormat="1" applyFont="1" applyFill="1" applyBorder="1" applyAlignment="1">
      <alignment vertical="center"/>
    </xf>
    <xf numFmtId="165" fontId="7" fillId="2" borderId="0" xfId="5" applyNumberFormat="1" applyFont="1" applyFill="1" applyAlignment="1">
      <alignment horizontal="right" vertical="center"/>
    </xf>
    <xf numFmtId="167" fontId="8" fillId="2" borderId="0" xfId="5" applyNumberFormat="1" applyFont="1" applyFill="1" applyAlignment="1">
      <alignment horizontal="right" vertical="center"/>
    </xf>
    <xf numFmtId="167" fontId="7" fillId="2" borderId="0" xfId="5" applyNumberFormat="1" applyFont="1" applyFill="1" applyAlignment="1">
      <alignment horizontal="right" vertical="center"/>
    </xf>
    <xf numFmtId="165" fontId="7" fillId="2" borderId="0" xfId="4" applyNumberFormat="1" applyFont="1" applyFill="1" applyAlignment="1">
      <alignment vertical="center"/>
    </xf>
    <xf numFmtId="165" fontId="7" fillId="2" borderId="1" xfId="4" applyNumberFormat="1" applyFont="1" applyFill="1" applyBorder="1" applyAlignment="1">
      <alignment vertical="center"/>
    </xf>
    <xf numFmtId="165" fontId="7" fillId="2" borderId="3" xfId="4" applyNumberFormat="1" applyFont="1" applyFill="1" applyBorder="1" applyAlignment="1">
      <alignment vertical="center"/>
    </xf>
    <xf numFmtId="165" fontId="8" fillId="2" borderId="10" xfId="4" applyNumberFormat="1" applyFont="1" applyFill="1" applyBorder="1" applyAlignment="1">
      <alignment vertical="center"/>
    </xf>
    <xf numFmtId="165" fontId="8" fillId="2" borderId="9" xfId="4" applyNumberFormat="1" applyFont="1" applyFill="1" applyBorder="1" applyAlignment="1">
      <alignment horizontal="right" vertical="center"/>
    </xf>
    <xf numFmtId="165" fontId="8" fillId="2" borderId="9" xfId="4" applyNumberFormat="1" applyFont="1" applyFill="1" applyBorder="1" applyAlignment="1">
      <alignment vertical="center"/>
    </xf>
    <xf numFmtId="165" fontId="8" fillId="2" borderId="3" xfId="4" applyNumberFormat="1" applyFont="1" applyFill="1" applyBorder="1" applyAlignment="1">
      <alignment vertical="center"/>
    </xf>
    <xf numFmtId="165" fontId="8" fillId="2" borderId="1" xfId="4" applyNumberFormat="1" applyFont="1" applyFill="1" applyBorder="1" applyAlignment="1">
      <alignment vertical="center"/>
    </xf>
    <xf numFmtId="0" fontId="27" fillId="0" borderId="0" xfId="2" applyFont="1" applyAlignment="1">
      <alignment vertical="center"/>
    </xf>
    <xf numFmtId="0" fontId="30" fillId="0" borderId="0" xfId="10" applyFont="1" applyAlignment="1">
      <alignment vertical="center"/>
    </xf>
    <xf numFmtId="0" fontId="4" fillId="0" borderId="0" xfId="10" applyFont="1" applyAlignment="1">
      <alignment vertical="center"/>
    </xf>
    <xf numFmtId="0" fontId="31" fillId="0" borderId="0" xfId="10" applyFont="1" applyAlignment="1">
      <alignment vertical="center"/>
    </xf>
    <xf numFmtId="0" fontId="32" fillId="0" borderId="0" xfId="10" applyFont="1" applyAlignment="1">
      <alignment vertical="center"/>
    </xf>
    <xf numFmtId="0" fontId="33" fillId="0" borderId="0" xfId="10" applyFont="1" applyAlignment="1">
      <alignment horizontal="right" vertical="center"/>
    </xf>
    <xf numFmtId="0" fontId="4" fillId="0" borderId="0" xfId="10" applyFont="1" applyAlignment="1">
      <alignment horizontal="right" vertical="center"/>
    </xf>
    <xf numFmtId="0" fontId="9" fillId="3" borderId="1" xfId="10" applyFont="1" applyFill="1" applyBorder="1" applyAlignment="1">
      <alignment horizontal="right" vertical="center"/>
    </xf>
    <xf numFmtId="165" fontId="4" fillId="0" borderId="0" xfId="10" applyNumberFormat="1" applyFont="1" applyAlignment="1">
      <alignment vertical="center"/>
    </xf>
    <xf numFmtId="0" fontId="33" fillId="0" borderId="1" xfId="10" applyFont="1" applyBorder="1" applyAlignment="1">
      <alignment vertical="center"/>
    </xf>
    <xf numFmtId="0" fontId="4" fillId="0" borderId="1" xfId="10" applyFont="1" applyBorder="1" applyAlignment="1">
      <alignment vertical="center"/>
    </xf>
    <xf numFmtId="0" fontId="4" fillId="0" borderId="1" xfId="10" applyFont="1" applyBorder="1" applyAlignment="1">
      <alignment horizontal="right" vertical="center"/>
    </xf>
    <xf numFmtId="0" fontId="9" fillId="3" borderId="0" xfId="10" applyFont="1" applyFill="1" applyAlignment="1">
      <alignment horizontal="right" vertical="center"/>
    </xf>
    <xf numFmtId="0" fontId="9" fillId="3" borderId="4" xfId="10" applyFont="1" applyFill="1" applyBorder="1" applyAlignment="1">
      <alignment horizontal="right" vertical="center"/>
    </xf>
    <xf numFmtId="170" fontId="4" fillId="0" borderId="0" xfId="10" applyNumberFormat="1" applyFont="1" applyAlignment="1">
      <alignment horizontal="right" vertical="center"/>
    </xf>
    <xf numFmtId="0" fontId="9" fillId="3" borderId="0" xfId="10" applyFont="1" applyFill="1" applyAlignment="1">
      <alignment vertical="center"/>
    </xf>
    <xf numFmtId="0" fontId="18" fillId="3" borderId="3" xfId="10" applyFont="1" applyFill="1" applyBorder="1" applyAlignment="1">
      <alignment vertical="center"/>
    </xf>
    <xf numFmtId="0" fontId="34" fillId="0" borderId="0" xfId="10" applyFont="1" applyAlignment="1">
      <alignment vertical="center"/>
    </xf>
    <xf numFmtId="0" fontId="4" fillId="0" borderId="0" xfId="10" applyFont="1" applyAlignment="1">
      <alignment horizontal="left" vertical="center"/>
    </xf>
    <xf numFmtId="171" fontId="4" fillId="0" borderId="0" xfId="10" applyNumberFormat="1" applyFont="1" applyAlignment="1">
      <alignment vertical="center"/>
    </xf>
    <xf numFmtId="0" fontId="35" fillId="0" borderId="0" xfId="10" applyFont="1" applyAlignment="1">
      <alignment vertical="center"/>
    </xf>
    <xf numFmtId="0" fontId="9" fillId="3" borderId="1" xfId="10" applyFont="1" applyFill="1" applyBorder="1" applyAlignment="1">
      <alignment vertical="center"/>
    </xf>
    <xf numFmtId="0" fontId="18" fillId="3" borderId="4" xfId="10" applyFont="1" applyFill="1" applyBorder="1" applyAlignment="1">
      <alignment vertical="center"/>
    </xf>
    <xf numFmtId="0" fontId="36" fillId="3" borderId="1" xfId="10" applyFont="1" applyFill="1" applyBorder="1" applyAlignment="1">
      <alignment horizontal="right" vertical="center"/>
    </xf>
    <xf numFmtId="2" fontId="16" fillId="0" borderId="0" xfId="10" applyNumberFormat="1" applyFont="1" applyAlignment="1">
      <alignment vertical="center"/>
    </xf>
    <xf numFmtId="2" fontId="4" fillId="0" borderId="0" xfId="10" applyNumberFormat="1" applyFont="1" applyAlignment="1">
      <alignment horizontal="right" vertical="center"/>
    </xf>
    <xf numFmtId="171" fontId="16" fillId="0" borderId="0" xfId="10" applyNumberFormat="1" applyFont="1" applyAlignment="1">
      <alignment vertical="center"/>
    </xf>
    <xf numFmtId="10" fontId="4" fillId="4" borderId="0" xfId="7" applyNumberFormat="1" applyFont="1" applyFill="1" applyAlignment="1">
      <alignment vertical="center"/>
    </xf>
    <xf numFmtId="0" fontId="4" fillId="0" borderId="1" xfId="10" applyFont="1" applyBorder="1" applyAlignment="1">
      <alignment horizontal="left" vertical="center"/>
    </xf>
    <xf numFmtId="10" fontId="4" fillId="4" borderId="1" xfId="7" applyNumberFormat="1" applyFont="1" applyFill="1" applyBorder="1" applyAlignment="1">
      <alignment vertical="center"/>
    </xf>
    <xf numFmtId="10" fontId="4" fillId="2" borderId="0" xfId="7" applyNumberFormat="1" applyFont="1" applyFill="1" applyAlignment="1">
      <alignment vertical="center"/>
    </xf>
    <xf numFmtId="10" fontId="4" fillId="2" borderId="1" xfId="7" applyNumberFormat="1" applyFont="1" applyFill="1" applyBorder="1" applyAlignment="1">
      <alignment vertical="center"/>
    </xf>
    <xf numFmtId="0" fontId="37" fillId="0" borderId="0" xfId="10" applyFont="1" applyAlignment="1">
      <alignment horizontal="right" vertical="center"/>
    </xf>
    <xf numFmtId="10" fontId="4" fillId="2" borderId="0" xfId="10" applyNumberFormat="1" applyFont="1" applyFill="1" applyAlignment="1">
      <alignment vertical="center"/>
    </xf>
    <xf numFmtId="165" fontId="4" fillId="2" borderId="0" xfId="10" applyNumberFormat="1" applyFont="1" applyFill="1" applyAlignment="1">
      <alignment vertical="center"/>
    </xf>
    <xf numFmtId="0" fontId="4" fillId="2" borderId="0" xfId="10" applyFont="1" applyFill="1" applyAlignment="1">
      <alignment vertical="center"/>
    </xf>
    <xf numFmtId="2" fontId="16" fillId="2" borderId="0" xfId="10" applyNumberFormat="1" applyFont="1" applyFill="1" applyAlignment="1">
      <alignment horizontal="right" vertical="center"/>
    </xf>
    <xf numFmtId="2" fontId="4" fillId="2" borderId="3" xfId="10" applyNumberFormat="1" applyFont="1" applyFill="1" applyBorder="1" applyAlignment="1">
      <alignment horizontal="right" vertical="center"/>
    </xf>
    <xf numFmtId="2" fontId="16" fillId="2" borderId="0" xfId="10" applyNumberFormat="1" applyFont="1" applyFill="1" applyAlignment="1">
      <alignment vertical="center"/>
    </xf>
    <xf numFmtId="2" fontId="4" fillId="2" borderId="3" xfId="10" applyNumberFormat="1" applyFont="1" applyFill="1" applyBorder="1" applyAlignment="1">
      <alignment vertical="center"/>
    </xf>
    <xf numFmtId="10" fontId="4" fillId="2" borderId="0" xfId="1" applyNumberFormat="1" applyFont="1" applyFill="1" applyAlignment="1">
      <alignment vertical="center"/>
    </xf>
    <xf numFmtId="9" fontId="4" fillId="2" borderId="0" xfId="10" applyNumberFormat="1" applyFont="1" applyFill="1" applyAlignment="1">
      <alignment vertical="center"/>
    </xf>
    <xf numFmtId="165" fontId="8" fillId="2" borderId="7" xfId="4" applyNumberFormat="1" applyFont="1" applyFill="1" applyBorder="1" applyAlignment="1">
      <alignment horizontal="right" vertical="center"/>
    </xf>
    <xf numFmtId="0" fontId="38" fillId="0" borderId="4" xfId="6" applyFont="1" applyBorder="1" applyAlignment="1">
      <alignment horizontal="right" vertical="center" wrapText="1"/>
    </xf>
    <xf numFmtId="0" fontId="39" fillId="0" borderId="11" xfId="6" applyFont="1" applyBorder="1" applyAlignment="1">
      <alignment vertical="center"/>
    </xf>
    <xf numFmtId="0" fontId="39" fillId="0" borderId="12" xfId="6" applyFont="1" applyBorder="1" applyAlignment="1">
      <alignment vertical="center"/>
    </xf>
    <xf numFmtId="165" fontId="8" fillId="2" borderId="0" xfId="3" applyNumberFormat="1" applyFont="1" applyFill="1" applyBorder="1" applyAlignment="1">
      <alignment horizontal="right" vertical="center" wrapText="1"/>
    </xf>
    <xf numFmtId="165" fontId="16" fillId="2" borderId="0" xfId="10" applyNumberFormat="1" applyFont="1" applyFill="1" applyAlignment="1">
      <alignment vertical="center"/>
    </xf>
    <xf numFmtId="165" fontId="4" fillId="4" borderId="0" xfId="10" applyNumberFormat="1" applyFont="1" applyFill="1" applyAlignment="1">
      <alignment vertical="center"/>
    </xf>
    <xf numFmtId="0" fontId="9" fillId="3" borderId="1" xfId="10" applyFont="1" applyFill="1" applyBorder="1" applyAlignment="1">
      <alignment horizontal="left" vertical="center"/>
    </xf>
    <xf numFmtId="0" fontId="33" fillId="0" borderId="0" xfId="10" applyFont="1" applyAlignment="1">
      <alignment horizontal="left" vertical="center"/>
    </xf>
    <xf numFmtId="0" fontId="8" fillId="0" borderId="3" xfId="3" applyNumberFormat="1" applyFont="1" applyFill="1" applyBorder="1" applyAlignment="1">
      <alignment horizontal="right" vertical="center" wrapText="1"/>
    </xf>
    <xf numFmtId="0" fontId="8" fillId="0" borderId="3" xfId="3" applyNumberFormat="1" applyFont="1" applyFill="1" applyBorder="1" applyAlignment="1">
      <alignment horizontal="right" vertical="center"/>
    </xf>
    <xf numFmtId="2" fontId="4" fillId="0" borderId="0" xfId="10" applyNumberFormat="1" applyFont="1" applyAlignment="1">
      <alignment vertical="center"/>
    </xf>
    <xf numFmtId="10" fontId="4" fillId="2" borderId="1" xfId="10" applyNumberFormat="1" applyFont="1" applyFill="1" applyBorder="1" applyAlignment="1">
      <alignment vertical="center"/>
    </xf>
    <xf numFmtId="0" fontId="52" fillId="0" borderId="0" xfId="10" applyFont="1" applyAlignment="1">
      <alignment horizontal="left" vertical="center"/>
    </xf>
    <xf numFmtId="0" fontId="18" fillId="5" borderId="1" xfId="6" applyFont="1" applyFill="1" applyBorder="1" applyAlignment="1">
      <alignment vertical="center"/>
    </xf>
    <xf numFmtId="0" fontId="22" fillId="5" borderId="4" xfId="6" applyFont="1" applyFill="1" applyBorder="1" applyAlignment="1">
      <alignment horizontal="right" vertical="center"/>
    </xf>
    <xf numFmtId="0" fontId="9" fillId="5" borderId="1" xfId="6" applyFont="1" applyFill="1" applyBorder="1" applyAlignment="1">
      <alignment vertical="center"/>
    </xf>
    <xf numFmtId="0" fontId="0" fillId="0" borderId="3" xfId="0" applyBorder="1"/>
    <xf numFmtId="165" fontId="7" fillId="2" borderId="0" xfId="6" applyNumberFormat="1" applyFont="1" applyFill="1" applyAlignment="1">
      <alignment vertical="center"/>
    </xf>
    <xf numFmtId="165" fontId="7" fillId="2" borderId="1" xfId="6" applyNumberFormat="1" applyFont="1" applyFill="1" applyBorder="1" applyAlignment="1">
      <alignment vertical="center"/>
    </xf>
    <xf numFmtId="0" fontId="9" fillId="3" borderId="1" xfId="4" applyFont="1" applyFill="1" applyBorder="1" applyAlignment="1">
      <alignment horizontal="right" vertical="center"/>
    </xf>
    <xf numFmtId="0" fontId="9" fillId="3" borderId="2" xfId="4" applyFont="1" applyFill="1" applyBorder="1" applyAlignment="1">
      <alignment horizontal="left" vertical="center"/>
    </xf>
    <xf numFmtId="0" fontId="9" fillId="3" borderId="8" xfId="4" applyFont="1" applyFill="1" applyBorder="1" applyAlignment="1">
      <alignment horizontal="right" vertical="center"/>
    </xf>
    <xf numFmtId="0" fontId="9" fillId="3" borderId="2" xfId="4" applyFont="1" applyFill="1" applyBorder="1" applyAlignment="1">
      <alignment horizontal="right" vertical="center"/>
    </xf>
    <xf numFmtId="0" fontId="9" fillId="3" borderId="2" xfId="4" applyFont="1" applyFill="1" applyBorder="1" applyAlignment="1">
      <alignment vertical="center" wrapText="1"/>
    </xf>
    <xf numFmtId="0" fontId="9" fillId="3" borderId="1" xfId="5" applyFont="1" applyFill="1" applyBorder="1" applyAlignment="1">
      <alignment horizontal="right" vertical="center"/>
    </xf>
    <xf numFmtId="0" fontId="9" fillId="3" borderId="4" xfId="4" applyFont="1" applyFill="1" applyBorder="1" applyAlignment="1">
      <alignment horizontal="left" vertical="center"/>
    </xf>
    <xf numFmtId="0" fontId="9" fillId="3" borderId="2" xfId="4" applyFont="1" applyFill="1" applyBorder="1" applyAlignment="1">
      <alignment horizontal="left" vertical="center" wrapText="1"/>
    </xf>
    <xf numFmtId="0" fontId="54" fillId="0" borderId="0" xfId="10" applyFont="1" applyAlignment="1">
      <alignment vertical="center"/>
    </xf>
    <xf numFmtId="167" fontId="4" fillId="2" borderId="1" xfId="11" applyNumberFormat="1" applyFont="1" applyFill="1" applyBorder="1" applyAlignment="1">
      <alignment vertical="center"/>
    </xf>
    <xf numFmtId="10" fontId="4" fillId="0" borderId="0" xfId="10" applyNumberFormat="1" applyFont="1" applyAlignment="1">
      <alignment horizontal="right" vertical="center"/>
    </xf>
    <xf numFmtId="0" fontId="4" fillId="2" borderId="0" xfId="10" applyFont="1" applyFill="1" applyAlignment="1">
      <alignment horizontal="right" vertical="center"/>
    </xf>
    <xf numFmtId="10" fontId="4" fillId="2" borderId="0" xfId="12" applyNumberFormat="1" applyFont="1" applyFill="1" applyAlignment="1">
      <alignment horizontal="right" vertical="center"/>
    </xf>
    <xf numFmtId="10" fontId="4" fillId="2" borderId="0" xfId="10" applyNumberFormat="1" applyFont="1" applyFill="1" applyAlignment="1">
      <alignment horizontal="right" vertical="center"/>
    </xf>
    <xf numFmtId="170" fontId="4" fillId="2" borderId="0" xfId="10" applyNumberFormat="1" applyFont="1" applyFill="1" applyAlignment="1">
      <alignment horizontal="right" vertical="center"/>
    </xf>
    <xf numFmtId="10" fontId="33" fillId="2" borderId="7" xfId="10" applyNumberFormat="1" applyFont="1" applyFill="1" applyBorder="1" applyAlignment="1">
      <alignment vertical="center"/>
    </xf>
    <xf numFmtId="0" fontId="9" fillId="3" borderId="5" xfId="10" applyFont="1" applyFill="1" applyBorder="1" applyAlignment="1">
      <alignment horizontal="left" vertical="center"/>
    </xf>
    <xf numFmtId="0" fontId="18" fillId="3" borderId="5" xfId="10" applyFont="1" applyFill="1" applyBorder="1" applyAlignment="1">
      <alignment vertical="center"/>
    </xf>
    <xf numFmtId="0" fontId="18" fillId="3" borderId="1" xfId="10" applyFont="1" applyFill="1" applyBorder="1" applyAlignment="1">
      <alignment vertical="center"/>
    </xf>
    <xf numFmtId="170" fontId="4" fillId="2" borderId="3" xfId="10" applyNumberFormat="1" applyFont="1" applyFill="1" applyBorder="1" applyAlignment="1">
      <alignment horizontal="right" vertical="center"/>
    </xf>
    <xf numFmtId="170" fontId="33" fillId="2" borderId="1" xfId="10" applyNumberFormat="1" applyFont="1" applyFill="1" applyBorder="1" applyAlignment="1">
      <alignment horizontal="right" vertical="center"/>
    </xf>
    <xf numFmtId="170" fontId="33" fillId="2" borderId="4" xfId="10" applyNumberFormat="1" applyFont="1" applyFill="1" applyBorder="1" applyAlignment="1">
      <alignment horizontal="right" vertical="center"/>
    </xf>
    <xf numFmtId="165" fontId="33" fillId="2" borderId="6" xfId="10" applyNumberFormat="1" applyFont="1" applyFill="1" applyBorder="1" applyAlignment="1">
      <alignment vertical="center"/>
    </xf>
    <xf numFmtId="165" fontId="33" fillId="2" borderId="1" xfId="10" applyNumberFormat="1" applyFont="1" applyFill="1" applyBorder="1" applyAlignment="1">
      <alignment vertical="center"/>
    </xf>
    <xf numFmtId="2" fontId="7" fillId="2" borderId="0" xfId="6" applyNumberFormat="1" applyFont="1" applyFill="1" applyAlignment="1">
      <alignment vertical="center"/>
    </xf>
    <xf numFmtId="0" fontId="38" fillId="0" borderId="6" xfId="6" applyFont="1" applyBorder="1" applyAlignment="1">
      <alignment horizontal="right" vertical="center" wrapText="1"/>
    </xf>
    <xf numFmtId="165" fontId="7" fillId="0" borderId="0" xfId="3" applyNumberFormat="1" applyFont="1" applyFill="1" applyAlignment="1">
      <alignment vertical="center"/>
    </xf>
    <xf numFmtId="165" fontId="8" fillId="2" borderId="0" xfId="9" applyNumberFormat="1" applyFont="1" applyFill="1" applyBorder="1" applyAlignment="1">
      <alignment vertical="center"/>
    </xf>
    <xf numFmtId="167" fontId="7" fillId="2" borderId="13" xfId="3" applyNumberFormat="1" applyFont="1" applyFill="1" applyBorder="1" applyAlignment="1">
      <alignment vertical="center"/>
    </xf>
    <xf numFmtId="0" fontId="18" fillId="3" borderId="0" xfId="10" applyFont="1" applyFill="1" applyAlignment="1">
      <alignment vertical="center"/>
    </xf>
    <xf numFmtId="10" fontId="4" fillId="2" borderId="1" xfId="1" applyNumberFormat="1" applyFont="1" applyFill="1" applyBorder="1" applyAlignment="1">
      <alignment vertical="center"/>
    </xf>
    <xf numFmtId="165" fontId="7" fillId="2" borderId="0" xfId="3" applyNumberFormat="1" applyFont="1" applyFill="1" applyAlignment="1">
      <alignment vertical="center"/>
    </xf>
    <xf numFmtId="10" fontId="7" fillId="2" borderId="0" xfId="7" applyNumberFormat="1" applyFont="1" applyFill="1" applyAlignment="1">
      <alignment vertical="center"/>
    </xf>
    <xf numFmtId="0" fontId="7" fillId="2" borderId="0" xfId="6" applyFont="1" applyFill="1" applyAlignment="1">
      <alignment vertical="center"/>
    </xf>
    <xf numFmtId="10" fontId="7" fillId="2" borderId="1" xfId="7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right" vertical="center"/>
    </xf>
    <xf numFmtId="0" fontId="9" fillId="3" borderId="0" xfId="6" applyFont="1" applyFill="1" applyAlignment="1">
      <alignment vertical="center"/>
    </xf>
    <xf numFmtId="165" fontId="9" fillId="3" borderId="0" xfId="6" applyNumberFormat="1" applyFont="1" applyFill="1" applyAlignment="1">
      <alignment vertical="center"/>
    </xf>
    <xf numFmtId="0" fontId="7" fillId="2" borderId="0" xfId="6" applyFont="1" applyFill="1" applyAlignment="1">
      <alignment horizontal="right" vertical="center"/>
    </xf>
    <xf numFmtId="0" fontId="7" fillId="2" borderId="1" xfId="6" applyFont="1" applyFill="1" applyBorder="1" applyAlignment="1">
      <alignment horizontal="right" vertical="center"/>
    </xf>
    <xf numFmtId="0" fontId="8" fillId="0" borderId="12" xfId="6" applyFont="1" applyBorder="1" applyAlignment="1">
      <alignment vertical="center"/>
    </xf>
    <xf numFmtId="0" fontId="8" fillId="0" borderId="3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0" fontId="9" fillId="3" borderId="2" xfId="6" applyFont="1" applyFill="1" applyBorder="1" applyAlignment="1">
      <alignment horizontal="right" vertical="center"/>
    </xf>
    <xf numFmtId="165" fontId="8" fillId="2" borderId="3" xfId="3" applyNumberFormat="1" applyFont="1" applyFill="1" applyBorder="1" applyAlignment="1">
      <alignment horizontal="right" vertical="center" wrapText="1"/>
    </xf>
    <xf numFmtId="165" fontId="7" fillId="2" borderId="3" xfId="3" applyNumberFormat="1" applyFont="1" applyFill="1" applyBorder="1" applyAlignment="1">
      <alignment vertical="center"/>
    </xf>
    <xf numFmtId="165" fontId="7" fillId="2" borderId="4" xfId="3" applyNumberFormat="1" applyFont="1" applyFill="1" applyBorder="1" applyAlignment="1">
      <alignment vertical="center"/>
    </xf>
    <xf numFmtId="165" fontId="7" fillId="2" borderId="3" xfId="9" applyNumberFormat="1" applyFont="1" applyFill="1" applyBorder="1" applyAlignment="1">
      <alignment vertical="center"/>
    </xf>
    <xf numFmtId="165" fontId="7" fillId="2" borderId="4" xfId="9" applyNumberFormat="1" applyFont="1" applyFill="1" applyBorder="1" applyAlignment="1">
      <alignment vertical="center"/>
    </xf>
    <xf numFmtId="165" fontId="8" fillId="2" borderId="3" xfId="9" applyNumberFormat="1" applyFont="1" applyFill="1" applyBorder="1" applyAlignment="1">
      <alignment vertical="center"/>
    </xf>
    <xf numFmtId="165" fontId="7" fillId="2" borderId="3" xfId="6" applyNumberFormat="1" applyFont="1" applyFill="1" applyBorder="1" applyAlignment="1">
      <alignment vertical="center"/>
    </xf>
    <xf numFmtId="165" fontId="7" fillId="2" borderId="4" xfId="6" applyNumberFormat="1" applyFont="1" applyFill="1" applyBorder="1" applyAlignment="1">
      <alignment vertical="center"/>
    </xf>
    <xf numFmtId="0" fontId="7" fillId="2" borderId="3" xfId="6" applyFont="1" applyFill="1" applyBorder="1" applyAlignment="1">
      <alignment vertical="center"/>
    </xf>
    <xf numFmtId="0" fontId="7" fillId="2" borderId="4" xfId="6" applyFont="1" applyFill="1" applyBorder="1" applyAlignment="1">
      <alignment vertical="center"/>
    </xf>
    <xf numFmtId="165" fontId="9" fillId="3" borderId="3" xfId="6" applyNumberFormat="1" applyFont="1" applyFill="1" applyBorder="1" applyAlignment="1">
      <alignment vertical="center"/>
    </xf>
    <xf numFmtId="0" fontId="9" fillId="3" borderId="2" xfId="6" applyFont="1" applyFill="1" applyBorder="1" applyAlignment="1">
      <alignment horizontal="right" vertical="center" wrapText="1"/>
    </xf>
    <xf numFmtId="0" fontId="31" fillId="2" borderId="0" xfId="10" applyFont="1" applyFill="1" applyAlignment="1">
      <alignment vertical="center"/>
    </xf>
    <xf numFmtId="0" fontId="55" fillId="0" borderId="0" xfId="4" applyFont="1" applyAlignment="1">
      <alignment vertical="center"/>
    </xf>
    <xf numFmtId="0" fontId="2" fillId="0" borderId="0" xfId="4"/>
    <xf numFmtId="10" fontId="7" fillId="0" borderId="0" xfId="4" applyNumberFormat="1" applyFont="1" applyAlignment="1">
      <alignment vertical="center"/>
    </xf>
    <xf numFmtId="164" fontId="8" fillId="6" borderId="0" xfId="13" applyNumberFormat="1" applyFont="1" applyFill="1" applyBorder="1" applyAlignment="1">
      <alignment horizontal="right" vertical="center"/>
    </xf>
    <xf numFmtId="171" fontId="8" fillId="6" borderId="0" xfId="4" applyNumberFormat="1" applyFont="1" applyFill="1" applyAlignment="1">
      <alignment vertical="center"/>
    </xf>
    <xf numFmtId="0" fontId="8" fillId="0" borderId="1" xfId="4" applyFont="1" applyBorder="1" applyAlignment="1">
      <alignment horizontal="right" vertical="center"/>
    </xf>
    <xf numFmtId="0" fontId="26" fillId="0" borderId="1" xfId="4" applyFont="1" applyBorder="1" applyAlignment="1">
      <alignment vertical="center"/>
    </xf>
    <xf numFmtId="0" fontId="56" fillId="0" borderId="0" xfId="4" applyFont="1" applyAlignment="1">
      <alignment vertical="center"/>
    </xf>
    <xf numFmtId="172" fontId="8" fillId="6" borderId="0" xfId="14" applyNumberFormat="1" applyFont="1" applyFill="1" applyAlignment="1">
      <alignment vertical="center"/>
    </xf>
    <xf numFmtId="0" fontId="26" fillId="0" borderId="0" xfId="4" applyFont="1" applyAlignment="1">
      <alignment vertical="center"/>
    </xf>
    <xf numFmtId="172" fontId="7" fillId="6" borderId="0" xfId="14" applyNumberFormat="1" applyFont="1" applyFill="1" applyAlignment="1">
      <alignment vertical="center"/>
    </xf>
    <xf numFmtId="165" fontId="8" fillId="2" borderId="10" xfId="4" applyNumberFormat="1" applyFont="1" applyFill="1" applyBorder="1" applyAlignment="1">
      <alignment horizontal="right" vertical="center"/>
    </xf>
    <xf numFmtId="165" fontId="8" fillId="2" borderId="4" xfId="4" applyNumberFormat="1" applyFont="1" applyFill="1" applyBorder="1" applyAlignment="1">
      <alignment vertical="center"/>
    </xf>
    <xf numFmtId="0" fontId="8" fillId="0" borderId="12" xfId="4" applyFont="1" applyBorder="1" applyAlignment="1">
      <alignment vertical="center"/>
    </xf>
    <xf numFmtId="165" fontId="8" fillId="2" borderId="18" xfId="4" applyNumberFormat="1" applyFont="1" applyFill="1" applyBorder="1" applyAlignment="1">
      <alignment horizontal="right" vertical="center"/>
    </xf>
    <xf numFmtId="165" fontId="8" fillId="2" borderId="3" xfId="4" applyNumberFormat="1" applyFont="1" applyFill="1" applyBorder="1" applyAlignment="1">
      <alignment horizontal="right" vertical="center"/>
    </xf>
    <xf numFmtId="165" fontId="8" fillId="2" borderId="4" xfId="4" applyNumberFormat="1" applyFont="1" applyFill="1" applyBorder="1" applyAlignment="1">
      <alignment horizontal="right" vertical="center"/>
    </xf>
    <xf numFmtId="165" fontId="8" fillId="2" borderId="12" xfId="4" applyNumberFormat="1" applyFont="1" applyFill="1" applyBorder="1" applyAlignment="1">
      <alignment horizontal="right" vertical="center"/>
    </xf>
    <xf numFmtId="0" fontId="16" fillId="0" borderId="4" xfId="5" applyFont="1" applyBorder="1" applyAlignment="1">
      <alignment vertical="center"/>
    </xf>
    <xf numFmtId="0" fontId="16" fillId="0" borderId="3" xfId="4" applyFont="1" applyBorder="1" applyAlignment="1">
      <alignment vertical="center"/>
    </xf>
    <xf numFmtId="0" fontId="57" fillId="0" borderId="3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7" fillId="0" borderId="3" xfId="4" applyFont="1" applyBorder="1" applyAlignment="1">
      <alignment vertical="center"/>
    </xf>
    <xf numFmtId="165" fontId="16" fillId="2" borderId="10" xfId="4" applyNumberFormat="1" applyFont="1" applyFill="1" applyBorder="1" applyAlignment="1">
      <alignment vertical="center"/>
    </xf>
    <xf numFmtId="167" fontId="26" fillId="6" borderId="1" xfId="13" applyNumberFormat="1" applyFont="1" applyFill="1" applyBorder="1" applyAlignment="1">
      <alignment vertical="center"/>
    </xf>
    <xf numFmtId="167" fontId="56" fillId="6" borderId="0" xfId="13" applyNumberFormat="1" applyFont="1" applyFill="1" applyBorder="1" applyAlignment="1">
      <alignment vertical="center"/>
    </xf>
    <xf numFmtId="0" fontId="8" fillId="2" borderId="0" xfId="10" applyFont="1" applyFill="1" applyAlignment="1">
      <alignment horizontal="right" vertical="center"/>
    </xf>
    <xf numFmtId="10" fontId="8" fillId="2" borderId="0" xfId="12" applyNumberFormat="1" applyFont="1" applyFill="1" applyAlignment="1">
      <alignment horizontal="right" vertical="center"/>
    </xf>
    <xf numFmtId="10" fontId="26" fillId="2" borderId="1" xfId="8" applyNumberFormat="1" applyFont="1" applyFill="1" applyBorder="1" applyAlignment="1">
      <alignment vertical="center"/>
    </xf>
    <xf numFmtId="10" fontId="26" fillId="2" borderId="4" xfId="8" applyNumberFormat="1" applyFont="1" applyFill="1" applyBorder="1" applyAlignment="1">
      <alignment vertical="center"/>
    </xf>
    <xf numFmtId="10" fontId="7" fillId="2" borderId="0" xfId="6" applyNumberFormat="1" applyFont="1" applyFill="1" applyAlignment="1">
      <alignment vertical="center"/>
    </xf>
    <xf numFmtId="0" fontId="22" fillId="5" borderId="0" xfId="6" applyFont="1" applyFill="1" applyAlignment="1">
      <alignment horizontal="right" vertical="center"/>
    </xf>
    <xf numFmtId="0" fontId="8" fillId="0" borderId="0" xfId="6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8" fillId="0" borderId="1" xfId="6" applyFont="1" applyBorder="1" applyAlignment="1">
      <alignment horizontal="right" vertical="center" wrapText="1"/>
    </xf>
    <xf numFmtId="10" fontId="7" fillId="2" borderId="0" xfId="7" applyNumberFormat="1" applyFont="1" applyFill="1" applyBorder="1" applyAlignment="1">
      <alignment vertical="center"/>
    </xf>
    <xf numFmtId="0" fontId="9" fillId="3" borderId="0" xfId="6" applyFont="1" applyFill="1" applyAlignment="1">
      <alignment horizontal="right" vertical="center" wrapText="1"/>
    </xf>
    <xf numFmtId="173" fontId="8" fillId="2" borderId="0" xfId="1" applyNumberFormat="1" applyFont="1" applyFill="1" applyBorder="1" applyAlignment="1">
      <alignment vertical="center"/>
    </xf>
    <xf numFmtId="4" fontId="0" fillId="0" borderId="0" xfId="0" applyNumberFormat="1"/>
    <xf numFmtId="0" fontId="53" fillId="0" borderId="0" xfId="0" applyFont="1" applyAlignment="1">
      <alignment horizontal="center"/>
    </xf>
    <xf numFmtId="0" fontId="0" fillId="0" borderId="1" xfId="0" applyBorder="1"/>
    <xf numFmtId="0" fontId="0" fillId="0" borderId="14" xfId="0" applyBorder="1"/>
    <xf numFmtId="0" fontId="53" fillId="0" borderId="15" xfId="0" applyFont="1" applyBorder="1" applyAlignment="1">
      <alignment horizontal="center"/>
    </xf>
    <xf numFmtId="0" fontId="53" fillId="0" borderId="15" xfId="0" applyFont="1" applyBorder="1" applyAlignment="1">
      <alignment horizontal="centerContinuous"/>
    </xf>
    <xf numFmtId="0" fontId="0" fillId="0" borderId="1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3" fillId="0" borderId="20" xfId="0" applyFont="1" applyBorder="1" applyAlignment="1">
      <alignment horizontal="centerContinuous"/>
    </xf>
    <xf numFmtId="0" fontId="0" fillId="0" borderId="21" xfId="0" applyBorder="1"/>
    <xf numFmtId="0" fontId="53" fillId="0" borderId="20" xfId="0" applyFont="1" applyBorder="1" applyAlignment="1">
      <alignment horizontal="center"/>
    </xf>
    <xf numFmtId="0" fontId="53" fillId="0" borderId="17" xfId="0" applyFont="1" applyBorder="1" applyAlignment="1">
      <alignment horizontal="center"/>
    </xf>
    <xf numFmtId="0" fontId="0" fillId="0" borderId="16" xfId="0" applyBorder="1"/>
    <xf numFmtId="0" fontId="0" fillId="0" borderId="6" xfId="0" applyBorder="1"/>
    <xf numFmtId="0" fontId="0" fillId="0" borderId="4" xfId="0" applyBorder="1"/>
    <xf numFmtId="14" fontId="0" fillId="0" borderId="1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4" fontId="0" fillId="0" borderId="13" xfId="0" applyNumberFormat="1" applyBorder="1"/>
    <xf numFmtId="4" fontId="0" fillId="0" borderId="6" xfId="0" applyNumberFormat="1" applyBorder="1"/>
    <xf numFmtId="0" fontId="7" fillId="2" borderId="0" xfId="6" applyFont="1" applyFill="1" applyAlignment="1">
      <alignment horizontal="right" vertical="center" wrapText="1"/>
    </xf>
    <xf numFmtId="0" fontId="0" fillId="7" borderId="3" xfId="0" applyFill="1" applyBorder="1"/>
    <xf numFmtId="165" fontId="7" fillId="0" borderId="0" xfId="3" applyNumberFormat="1" applyFont="1" applyFill="1" applyBorder="1" applyAlignment="1">
      <alignment vertical="center"/>
    </xf>
    <xf numFmtId="0" fontId="8" fillId="0" borderId="22" xfId="6" applyFont="1" applyBorder="1" applyAlignment="1">
      <alignment horizontal="right" vertical="center"/>
    </xf>
    <xf numFmtId="0" fontId="8" fillId="0" borderId="5" xfId="6" applyFont="1" applyBorder="1" applyAlignment="1">
      <alignment horizontal="right" vertical="center"/>
    </xf>
    <xf numFmtId="0" fontId="8" fillId="0" borderId="2" xfId="6" applyFont="1" applyBorder="1" applyAlignment="1">
      <alignment horizontal="right" vertical="center"/>
    </xf>
    <xf numFmtId="167" fontId="8" fillId="0" borderId="22" xfId="6" applyNumberFormat="1" applyFont="1" applyBorder="1" applyAlignment="1">
      <alignment horizontal="right" vertical="center"/>
    </xf>
    <xf numFmtId="167" fontId="8" fillId="0" borderId="5" xfId="6" applyNumberFormat="1" applyFont="1" applyBorder="1" applyAlignment="1">
      <alignment horizontal="right" vertical="center"/>
    </xf>
    <xf numFmtId="167" fontId="8" fillId="0" borderId="2" xfId="6" applyNumberFormat="1" applyFont="1" applyBorder="1" applyAlignment="1">
      <alignment horizontal="right" vertical="center"/>
    </xf>
    <xf numFmtId="0" fontId="8" fillId="0" borderId="0" xfId="6" applyFont="1" applyAlignment="1">
      <alignment horizontal="right" vertical="center"/>
    </xf>
    <xf numFmtId="0" fontId="8" fillId="0" borderId="0" xfId="3" applyNumberFormat="1" applyFont="1" applyFill="1" applyBorder="1" applyAlignment="1">
      <alignment horizontal="right" vertical="center" wrapText="1"/>
    </xf>
    <xf numFmtId="0" fontId="8" fillId="0" borderId="0" xfId="5" applyFont="1" applyAlignment="1">
      <alignment horizontal="left" vertical="center"/>
    </xf>
    <xf numFmtId="167" fontId="8" fillId="0" borderId="0" xfId="5" applyNumberFormat="1" applyFont="1" applyAlignment="1">
      <alignment horizontal="right" vertical="center"/>
    </xf>
    <xf numFmtId="167" fontId="7" fillId="0" borderId="0" xfId="5" applyNumberFormat="1" applyFont="1" applyAlignment="1">
      <alignment horizontal="right" vertical="center"/>
    </xf>
    <xf numFmtId="165" fontId="7" fillId="2" borderId="11" xfId="5" applyNumberFormat="1" applyFont="1" applyFill="1" applyBorder="1" applyAlignment="1">
      <alignment horizontal="right" vertical="center"/>
    </xf>
    <xf numFmtId="165" fontId="7" fillId="2" borderId="19" xfId="5" applyNumberFormat="1" applyFont="1" applyFill="1" applyBorder="1" applyAlignment="1">
      <alignment horizontal="right" vertical="center"/>
    </xf>
    <xf numFmtId="165" fontId="7" fillId="2" borderId="13" xfId="5" applyNumberFormat="1" applyFont="1" applyFill="1" applyBorder="1" applyAlignment="1">
      <alignment horizontal="right" vertical="center"/>
    </xf>
    <xf numFmtId="165" fontId="7" fillId="2" borderId="13" xfId="4" applyNumberFormat="1" applyFont="1" applyFill="1" applyBorder="1" applyAlignment="1">
      <alignment horizontal="right" vertical="center"/>
    </xf>
    <xf numFmtId="0" fontId="7" fillId="2" borderId="0" xfId="4" applyFont="1" applyFill="1" applyAlignment="1">
      <alignment vertical="center"/>
    </xf>
    <xf numFmtId="0" fontId="8" fillId="7" borderId="3" xfId="4" applyFont="1" applyFill="1" applyBorder="1" applyAlignment="1">
      <alignment vertical="center"/>
    </xf>
    <xf numFmtId="165" fontId="8" fillId="7" borderId="0" xfId="4" applyNumberFormat="1" applyFont="1" applyFill="1" applyAlignment="1">
      <alignment vertical="center"/>
    </xf>
    <xf numFmtId="0" fontId="8" fillId="2" borderId="3" xfId="4" applyFont="1" applyFill="1" applyBorder="1" applyAlignment="1">
      <alignment vertical="center"/>
    </xf>
    <xf numFmtId="167" fontId="8" fillId="0" borderId="0" xfId="6" applyNumberFormat="1" applyFont="1" applyAlignment="1">
      <alignment horizontal="right" vertical="center"/>
    </xf>
    <xf numFmtId="165" fontId="8" fillId="0" borderId="0" xfId="3" applyNumberFormat="1" applyFont="1" applyFill="1" applyBorder="1" applyAlignment="1">
      <alignment horizontal="right" vertical="center" wrapText="1"/>
    </xf>
    <xf numFmtId="165" fontId="7" fillId="0" borderId="0" xfId="3" applyNumberFormat="1" applyFont="1" applyFill="1" applyBorder="1" applyAlignment="1">
      <alignment horizontal="right" vertical="center"/>
    </xf>
    <xf numFmtId="165" fontId="8" fillId="0" borderId="0" xfId="9" applyNumberFormat="1" applyFont="1" applyFill="1" applyBorder="1" applyAlignment="1">
      <alignment vertical="center"/>
    </xf>
    <xf numFmtId="165" fontId="7" fillId="0" borderId="0" xfId="6" applyNumberFormat="1" applyFont="1" applyAlignment="1">
      <alignment vertical="center"/>
    </xf>
    <xf numFmtId="0" fontId="7" fillId="0" borderId="0" xfId="6" applyFont="1" applyAlignment="1">
      <alignment horizontal="right" vertical="center"/>
    </xf>
    <xf numFmtId="0" fontId="7" fillId="0" borderId="0" xfId="6" applyFont="1" applyAlignment="1">
      <alignment horizontal="right" vertical="center" wrapText="1"/>
    </xf>
    <xf numFmtId="10" fontId="7" fillId="0" borderId="0" xfId="7" applyNumberFormat="1" applyFont="1" applyFill="1" applyBorder="1" applyAlignment="1">
      <alignment vertical="center"/>
    </xf>
    <xf numFmtId="165" fontId="9" fillId="0" borderId="0" xfId="6" applyNumberFormat="1" applyFont="1" applyAlignment="1">
      <alignment vertical="center"/>
    </xf>
    <xf numFmtId="0" fontId="9" fillId="0" borderId="0" xfId="6" applyFont="1" applyAlignment="1">
      <alignment horizontal="right" vertical="center" wrapText="1"/>
    </xf>
    <xf numFmtId="0" fontId="9" fillId="0" borderId="0" xfId="5" applyFont="1" applyAlignment="1">
      <alignment horizontal="right" vertical="center"/>
    </xf>
    <xf numFmtId="165" fontId="7" fillId="0" borderId="0" xfId="5" applyNumberFormat="1" applyFont="1" applyAlignment="1">
      <alignment horizontal="right" vertical="center"/>
    </xf>
    <xf numFmtId="0" fontId="9" fillId="0" borderId="0" xfId="4" applyFont="1" applyAlignment="1">
      <alignment horizontal="right" vertical="center"/>
    </xf>
    <xf numFmtId="165" fontId="8" fillId="0" borderId="0" xfId="4" applyNumberFormat="1" applyFont="1" applyAlignment="1">
      <alignment vertical="center"/>
    </xf>
    <xf numFmtId="10" fontId="7" fillId="0" borderId="0" xfId="6" applyNumberFormat="1" applyFont="1" applyAlignment="1">
      <alignment vertical="center"/>
    </xf>
    <xf numFmtId="0" fontId="9" fillId="3" borderId="11" xfId="10" applyFont="1" applyFill="1" applyBorder="1" applyAlignment="1">
      <alignment horizontal="left" vertical="center"/>
    </xf>
    <xf numFmtId="0" fontId="9" fillId="3" borderId="12" xfId="10" applyFont="1" applyFill="1" applyBorder="1" applyAlignment="1">
      <alignment horizontal="left" vertical="center"/>
    </xf>
    <xf numFmtId="165" fontId="4" fillId="2" borderId="11" xfId="10" applyNumberFormat="1" applyFont="1" applyFill="1" applyBorder="1" applyAlignment="1">
      <alignment horizontal="right" vertical="center"/>
    </xf>
    <xf numFmtId="165" fontId="4" fillId="2" borderId="0" xfId="10" applyNumberFormat="1" applyFont="1" applyFill="1" applyAlignment="1">
      <alignment horizontal="right" vertical="center"/>
    </xf>
    <xf numFmtId="0" fontId="7" fillId="2" borderId="12" xfId="6" applyFont="1" applyFill="1" applyBorder="1" applyAlignment="1">
      <alignment horizontal="center" vertical="center"/>
    </xf>
    <xf numFmtId="0" fontId="7" fillId="2" borderId="3" xfId="6" applyFont="1" applyFill="1" applyBorder="1" applyAlignment="1">
      <alignment horizontal="center" vertical="center"/>
    </xf>
    <xf numFmtId="0" fontId="7" fillId="2" borderId="4" xfId="6" applyFont="1" applyFill="1" applyBorder="1" applyAlignment="1">
      <alignment horizontal="center" vertical="center"/>
    </xf>
    <xf numFmtId="0" fontId="22" fillId="3" borderId="13" xfId="6" applyFont="1" applyFill="1" applyBorder="1" applyAlignment="1">
      <alignment horizontal="center" vertical="center"/>
    </xf>
    <xf numFmtId="0" fontId="22" fillId="3" borderId="0" xfId="6" applyFont="1" applyFill="1" applyAlignment="1">
      <alignment horizontal="center" vertical="center"/>
    </xf>
    <xf numFmtId="0" fontId="22" fillId="3" borderId="13" xfId="6" applyFont="1" applyFill="1" applyBorder="1" applyAlignment="1">
      <alignment horizontal="center" vertical="center" wrapText="1"/>
    </xf>
    <xf numFmtId="0" fontId="22" fillId="3" borderId="0" xfId="6" applyFont="1" applyFill="1" applyAlignment="1">
      <alignment horizontal="center" vertical="center" wrapText="1"/>
    </xf>
    <xf numFmtId="0" fontId="22" fillId="3" borderId="3" xfId="6" applyFont="1" applyFill="1" applyBorder="1" applyAlignment="1">
      <alignment horizontal="center" vertical="center" wrapText="1"/>
    </xf>
    <xf numFmtId="0" fontId="22" fillId="3" borderId="3" xfId="6" applyFont="1" applyFill="1" applyBorder="1" applyAlignment="1">
      <alignment horizontal="center" vertical="center"/>
    </xf>
  </cellXfs>
  <cellStyles count="15">
    <cellStyle name="Comma 2" xfId="3" xr:uid="{CA4B55AE-85A8-9445-99F2-5509E4D36443}"/>
    <cellStyle name="Comma 2 2" xfId="9" xr:uid="{AEC27C95-8E87-2141-82EE-2182DC75BDEE}"/>
    <cellStyle name="Comma 2 3" xfId="11" xr:uid="{E38E7190-657B-6545-92F1-E773E59E4B26}"/>
    <cellStyle name="Comma 3" xfId="13" xr:uid="{738BA2FD-2E8B-7947-A190-1EEC010BE323}"/>
    <cellStyle name="Normal" xfId="0" builtinId="0"/>
    <cellStyle name="Normal 2" xfId="5" xr:uid="{B7F830F6-D879-744C-BE9C-129021E61313}"/>
    <cellStyle name="Normal 2 2" xfId="4" xr:uid="{3DDB658F-2A25-EC49-AABD-01454B1BB7D1}"/>
    <cellStyle name="Normal 2 3" xfId="10" xr:uid="{057A12BF-F8E0-324C-948A-CE1343C618F4}"/>
    <cellStyle name="Normal 3 2" xfId="2" xr:uid="{C1EC3574-1656-DF4A-A48B-E8FDEBE7DC0F}"/>
    <cellStyle name="Normal 3 3" xfId="6" xr:uid="{F74E6FDA-0421-5B4F-AA62-D437B51944A1}"/>
    <cellStyle name="Percent" xfId="1" builtinId="5"/>
    <cellStyle name="Percent 2" xfId="7" xr:uid="{695A5F60-1151-BB44-83A2-F0F8AE50C120}"/>
    <cellStyle name="Percent 2 2" xfId="8" xr:uid="{0D68C26E-58D2-5B41-9FC5-F66BB2AC9080}"/>
    <cellStyle name="Percent 2 3" xfId="12" xr:uid="{6D24EDF7-DC67-8845-8D04-46A5F330A669}"/>
    <cellStyle name="Percent 3" xfId="14" xr:uid="{C4CD1E1D-FEAC-EB47-9B52-1FE3F13EC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421832505267506E-2"/>
          <c:y val="0.17881106001120942"/>
          <c:w val="0.59577788070608817"/>
          <c:h val="0.773632478632478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038-7A44-AC25-67BE3C6708C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252-C94F-83C3-2BB98C98963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'Capital Allocation'!$B$11:$B$12</c:f>
              <c:strCache>
                <c:ptCount val="2"/>
                <c:pt idx="0">
                  <c:v>y: weight of risky pf</c:v>
                </c:pt>
                <c:pt idx="1">
                  <c:v>1-y: weight of risk free asset</c:v>
                </c:pt>
              </c:strCache>
            </c:strRef>
          </c:cat>
          <c:val>
            <c:numRef>
              <c:f>'Capital Allocation'!$D$11:$D$12</c:f>
              <c:numCache>
                <c:formatCode>0.00%</c:formatCode>
                <c:ptCount val="2"/>
                <c:pt idx="0">
                  <c:v>0.521757819096477</c:v>
                </c:pt>
                <c:pt idx="1">
                  <c:v>0.478242180903523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2-C94F-83C3-2BB98C9896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03949343276042"/>
          <c:y val="0.25939739987006105"/>
          <c:w val="0.24073656928824783"/>
          <c:h val="0.5630550514409979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Max.</a:t>
            </a:r>
            <a:r>
              <a:rPr lang="en-US" baseline="0"/>
              <a:t> </a:t>
            </a:r>
            <a:r>
              <a:rPr lang="en-US"/>
              <a:t>Utiliity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'Capital Allocation'!$E$22</c:f>
              <c:strCache>
                <c:ptCount val="1"/>
                <c:pt idx="0">
                  <c:v>Utiliity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'Capital Allocation'!$B$24:$B$33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 formatCode="0.0">
                  <c:v>1</c:v>
                </c:pt>
              </c:numCache>
            </c:numRef>
          </c:xVal>
          <c:yVal>
            <c:numRef>
              <c:f>'Capital Allocation'!$E$24:$E$33</c:f>
              <c:numCache>
                <c:formatCode>0.00%</c:formatCode>
                <c:ptCount val="10"/>
                <c:pt idx="0">
                  <c:v>5.5200941161826E-2</c:v>
                </c:pt>
                <c:pt idx="1">
                  <c:v>6.5241144647225621E-2</c:v>
                </c:pt>
                <c:pt idx="2">
                  <c:v>7.2580610456198846E-2</c:v>
                </c:pt>
                <c:pt idx="3">
                  <c:v>7.721933858874569E-2</c:v>
                </c:pt>
                <c:pt idx="4">
                  <c:v>7.9157329044866137E-2</c:v>
                </c:pt>
                <c:pt idx="5">
                  <c:v>7.8394581824560217E-2</c:v>
                </c:pt>
                <c:pt idx="6">
                  <c:v>7.4931096927827873E-2</c:v>
                </c:pt>
                <c:pt idx="7">
                  <c:v>6.8766874354669119E-2</c:v>
                </c:pt>
                <c:pt idx="8">
                  <c:v>5.9901914105084025E-2</c:v>
                </c:pt>
                <c:pt idx="9">
                  <c:v>4.8336216179072494E-2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13-F942-AAFA-DC10E22F1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634319"/>
        <c:axId val="1404941903"/>
      </c:scatterChart>
      <c:valAx>
        <c:axId val="140463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404941903"/>
        <c:crosses val="autoZero"/>
        <c:crossBetween val="midCat"/>
      </c:valAx>
      <c:valAx>
        <c:axId val="14049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40463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Your Indiff meets Your 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'Capital Allocation'!$F$22</c:f>
              <c:strCache>
                <c:ptCount val="1"/>
                <c:pt idx="0">
                  <c:v>E(rc) on Indiff.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'Capital Allocation'!$D$24:$D$33</c:f>
              <c:numCache>
                <c:formatCode>0.00%</c:formatCode>
                <c:ptCount val="10"/>
                <c:pt idx="0">
                  <c:v>1.910404540584091E-2</c:v>
                </c:pt>
                <c:pt idx="1">
                  <c:v>3.8208090811681819E-2</c:v>
                </c:pt>
                <c:pt idx="2">
                  <c:v>5.7312136217522722E-2</c:v>
                </c:pt>
                <c:pt idx="3">
                  <c:v>7.6416181623363638E-2</c:v>
                </c:pt>
                <c:pt idx="4">
                  <c:v>9.5520227029204541E-2</c:v>
                </c:pt>
                <c:pt idx="5">
                  <c:v>0.11462427243504544</c:v>
                </c:pt>
                <c:pt idx="6">
                  <c:v>0.13372831784088635</c:v>
                </c:pt>
                <c:pt idx="7">
                  <c:v>0.15283236324672728</c:v>
                </c:pt>
                <c:pt idx="8">
                  <c:v>0.17193640865256818</c:v>
                </c:pt>
                <c:pt idx="9">
                  <c:v>0.19104045405840908</c:v>
                </c:pt>
              </c:numCache>
            </c:numRef>
          </c:cat>
          <c:val>
            <c:numRef>
              <c:f>'Capital Allocation'!$F$24:$F$33</c:f>
              <c:numCache>
                <c:formatCode>0.00%</c:formatCode>
                <c:ptCount val="10"/>
                <c:pt idx="0">
                  <c:v>8.0571624707377346E-2</c:v>
                </c:pt>
                <c:pt idx="1">
                  <c:v>8.4622731222016925E-2</c:v>
                </c:pt>
                <c:pt idx="2">
                  <c:v>9.1374575413082901E-2</c:v>
                </c:pt>
                <c:pt idx="3">
                  <c:v>0.10082715728057527</c:v>
                </c:pt>
                <c:pt idx="4">
                  <c:v>0.11298047682449402</c:v>
                </c:pt>
                <c:pt idx="5">
                  <c:v>0.12783453404483916</c:v>
                </c:pt>
                <c:pt idx="6">
                  <c:v>0.14538932894161069</c:v>
                </c:pt>
                <c:pt idx="7">
                  <c:v>0.16564486151480867</c:v>
                </c:pt>
                <c:pt idx="8">
                  <c:v>0.18860113176443297</c:v>
                </c:pt>
                <c:pt idx="9">
                  <c:v>0.21425813969048368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8A-D949-BC77-83495A19F7CF}"/>
            </c:ext>
          </c:extLst>
        </c:ser>
        <c:ser>
          <c:idx val="1"/>
          <c:order val="1"/>
          <c:tx>
            <c:strRef>
              <c:f>'Capital Allocation'!$D$22</c:f>
              <c:strCache>
                <c:ptCount val="1"/>
                <c:pt idx="0">
                  <c:v>𝜎 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'Capital Allocation'!$D$24:$D$33</c:f>
              <c:numCache>
                <c:formatCode>0.00%</c:formatCode>
                <c:ptCount val="10"/>
                <c:pt idx="0">
                  <c:v>1.910404540584091E-2</c:v>
                </c:pt>
                <c:pt idx="1">
                  <c:v>3.8208090811681819E-2</c:v>
                </c:pt>
                <c:pt idx="2">
                  <c:v>5.7312136217522722E-2</c:v>
                </c:pt>
                <c:pt idx="3">
                  <c:v>7.6416181623363638E-2</c:v>
                </c:pt>
                <c:pt idx="4">
                  <c:v>9.5520227029204541E-2</c:v>
                </c:pt>
                <c:pt idx="5">
                  <c:v>0.11462427243504544</c:v>
                </c:pt>
                <c:pt idx="6">
                  <c:v>0.13372831784088635</c:v>
                </c:pt>
                <c:pt idx="7">
                  <c:v>0.15283236324672728</c:v>
                </c:pt>
                <c:pt idx="8">
                  <c:v>0.17193640865256818</c:v>
                </c:pt>
                <c:pt idx="9">
                  <c:v>0.19104045405840908</c:v>
                </c:pt>
              </c:numCache>
            </c:numRef>
          </c:cat>
          <c:val>
            <c:numRef>
              <c:f>'Capital Allocation'!$C$24:$C$33</c:f>
              <c:numCache>
                <c:formatCode>0.00%</c:formatCode>
                <c:ptCount val="10"/>
                <c:pt idx="0">
                  <c:v>5.6551310000039198E-2</c:v>
                </c:pt>
                <c:pt idx="1">
                  <c:v>7.0642620000078399E-2</c:v>
                </c:pt>
                <c:pt idx="2">
                  <c:v>8.4733930000117599E-2</c:v>
                </c:pt>
                <c:pt idx="3">
                  <c:v>9.8825240000156814E-2</c:v>
                </c:pt>
                <c:pt idx="4">
                  <c:v>0.11291655000019601</c:v>
                </c:pt>
                <c:pt idx="5">
                  <c:v>0.12700786000023523</c:v>
                </c:pt>
                <c:pt idx="6">
                  <c:v>0.14109917000027442</c:v>
                </c:pt>
                <c:pt idx="7">
                  <c:v>0.15519048000031363</c:v>
                </c:pt>
                <c:pt idx="8">
                  <c:v>0.16928179000035284</c:v>
                </c:pt>
                <c:pt idx="9">
                  <c:v>0.18337310000039203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A-D949-BC77-83495A19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74014719"/>
        <c:axId val="1348506064"/>
      </c:lineChart>
      <c:catAx>
        <c:axId val="27401471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348506064"/>
        <c:crosses val="autoZero"/>
        <c:auto val="1"/>
        <c:lblAlgn val="ctr"/>
        <c:lblOffset val="100"/>
        <c:noMultiLvlLbl val="0"/>
      </c:catAx>
      <c:valAx>
        <c:axId val="134850606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740147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Optimal</a:t>
            </a:r>
            <a:r>
              <a:rPr lang="en-US" sz="1200" baseline="0"/>
              <a:t> Complete Portfolio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796420895243435E-2"/>
          <c:y val="0.16398924942056645"/>
          <c:w val="0.58841200588730025"/>
          <c:h val="0.7760612077537031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AC6-334D-86E9-273A97DE93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EDB-7B41-B7CE-B8186F5C0C9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AC6-334D-86E9-273A97DE932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'Asset Classes Allocation'!$B$30:$B$32</c:f>
              <c:strCache>
                <c:ptCount val="3"/>
                <c:pt idx="0">
                  <c:v>Weight (1-y): Risk-Free Asset</c:v>
                </c:pt>
                <c:pt idx="1">
                  <c:v>Bond weight in the Optimal Complete Pf</c:v>
                </c:pt>
                <c:pt idx="2">
                  <c:v>Equity weight in the Optimal Complete Pf</c:v>
                </c:pt>
              </c:strCache>
            </c:strRef>
          </c:cat>
          <c:val>
            <c:numRef>
              <c:f>'Asset Classes Allocation'!$D$30:$D$32</c:f>
              <c:numCache>
                <c:formatCode>0.00%</c:formatCode>
                <c:ptCount val="3"/>
                <c:pt idx="0">
                  <c:v>0.478242180903523</c:v>
                </c:pt>
                <c:pt idx="1">
                  <c:v>0</c:v>
                </c:pt>
                <c:pt idx="2">
                  <c:v>0.521757819096477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6-334D-86E9-273A97DE93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Optimal Risky Portfolio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'Asset Classes Allocation'!$E$12:$E$22</c:f>
              <c:numCache>
                <c:formatCode>0.0000</c:formatCode>
                <c:ptCount val="11"/>
                <c:pt idx="0">
                  <c:v>2.816540211113773E-2</c:v>
                </c:pt>
                <c:pt idx="1">
                  <c:v>3.8354008529988173E-2</c:v>
                </c:pt>
                <c:pt idx="2">
                  <c:v>5.2835261200023236E-2</c:v>
                </c:pt>
                <c:pt idx="3">
                  <c:v>6.8955742642298506E-2</c:v>
                </c:pt>
                <c:pt idx="4">
                  <c:v>8.5796380006076506E-2</c:v>
                </c:pt>
                <c:pt idx="5">
                  <c:v>0.10300455311520559</c:v>
                </c:pt>
                <c:pt idx="6">
                  <c:v>0.12042280458575647</c:v>
                </c:pt>
                <c:pt idx="7">
                  <c:v>0.13797159319097288</c:v>
                </c:pt>
                <c:pt idx="8">
                  <c:v>0.15560676062604512</c:v>
                </c:pt>
                <c:pt idx="9">
                  <c:v>0.17330193922436998</c:v>
                </c:pt>
                <c:pt idx="10">
                  <c:v>0.19104045405840908</c:v>
                </c:pt>
              </c:numCache>
            </c:numRef>
          </c:xVal>
          <c:yVal>
            <c:numRef>
              <c:f>'Asset Classes Allocation'!$D$12:$D$22</c:f>
              <c:numCache>
                <c:formatCode>0.0000</c:formatCode>
                <c:ptCount val="11"/>
                <c:pt idx="0">
                  <c:v>2.6060500000000004E-2</c:v>
                </c:pt>
                <c:pt idx="1">
                  <c:v>4.1791760000039209E-2</c:v>
                </c:pt>
                <c:pt idx="2">
                  <c:v>5.7523020000078411E-2</c:v>
                </c:pt>
                <c:pt idx="3">
                  <c:v>7.3254280000117605E-2</c:v>
                </c:pt>
                <c:pt idx="4">
                  <c:v>8.8985540000156821E-2</c:v>
                </c:pt>
                <c:pt idx="5">
                  <c:v>0.10471680000019602</c:v>
                </c:pt>
                <c:pt idx="6">
                  <c:v>0.12044806000023522</c:v>
                </c:pt>
                <c:pt idx="7">
                  <c:v>0.13617932000027441</c:v>
                </c:pt>
                <c:pt idx="8">
                  <c:v>0.15191058000031363</c:v>
                </c:pt>
                <c:pt idx="9">
                  <c:v>0.16764184000035284</c:v>
                </c:pt>
                <c:pt idx="10">
                  <c:v>0.18337310000039203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B-D94D-9D61-E2B322686B04}"/>
            </c:ext>
          </c:extLst>
        </c:ser>
        <c:ser>
          <c:idx val="1"/>
          <c:order val="1"/>
          <c:tx>
            <c:v>Minimum Variance Pf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forward val="0.1"/>
            <c:dispRSqr val="0"/>
            <c:dispEq val="0"/>
          </c:trendline>
          <c:xVal>
            <c:numRef>
              <c:f>('Asset Classes Allocation'!$D$8,'Asset Classes Allocation'!$E$24)</c:f>
              <c:numCache>
                <c:formatCode>0.0000</c:formatCode>
                <c:ptCount val="2"/>
                <c:pt idx="0" formatCode="0.00%">
                  <c:v>0</c:v>
                </c:pt>
                <c:pt idx="1">
                  <c:v>2.816540211113773E-2</c:v>
                </c:pt>
              </c:numCache>
            </c:numRef>
          </c:xVal>
          <c:yVal>
            <c:numRef>
              <c:f>('Asset Classes Allocation'!$C$8,'Asset Classes Allocation'!$D$24)</c:f>
              <c:numCache>
                <c:formatCode>0.0000</c:formatCode>
                <c:ptCount val="2"/>
                <c:pt idx="0" formatCode="0.00%">
                  <c:v>4.2459999999999998E-2</c:v>
                </c:pt>
                <c:pt idx="1">
                  <c:v>2.6060500000000004E-2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AB-D94D-9D61-E2B322686B04}"/>
            </c:ext>
          </c:extLst>
        </c:ser>
        <c:ser>
          <c:idx val="2"/>
          <c:order val="2"/>
          <c:tx>
            <c:v>Optimal Risky Pf</c:v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forward val="0.1"/>
            <c:dispRSqr val="0"/>
            <c:dispEq val="0"/>
          </c:trendline>
          <c:xVal>
            <c:numRef>
              <c:f>('Asset Classes Allocation'!$D$8,'Asset Classes Allocation'!$E$26)</c:f>
              <c:numCache>
                <c:formatCode>0.0000</c:formatCode>
                <c:ptCount val="2"/>
                <c:pt idx="0" formatCode="0.00%">
                  <c:v>0</c:v>
                </c:pt>
                <c:pt idx="1">
                  <c:v>0.19104045405840908</c:v>
                </c:pt>
              </c:numCache>
            </c:numRef>
          </c:xVal>
          <c:yVal>
            <c:numRef>
              <c:f>('Asset Classes Allocation'!$C$8,'Asset Classes Allocation'!$D$26)</c:f>
              <c:numCache>
                <c:formatCode>0.0000</c:formatCode>
                <c:ptCount val="2"/>
                <c:pt idx="0" formatCode="0.00%">
                  <c:v>4.2459999999999998E-2</c:v>
                </c:pt>
                <c:pt idx="1">
                  <c:v>0.18337310000039203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AB-D94D-9D61-E2B322686B04}"/>
            </c:ext>
          </c:extLst>
        </c:ser>
        <c:ser>
          <c:idx val="3"/>
          <c:order val="3"/>
          <c:tx>
            <c:v>Indifference Curve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'Capital Allocation'!$D$24:$D$33</c:f>
              <c:numCache>
                <c:formatCode>0.00%</c:formatCode>
                <c:ptCount val="10"/>
                <c:pt idx="0">
                  <c:v>1.910404540584091E-2</c:v>
                </c:pt>
                <c:pt idx="1">
                  <c:v>3.8208090811681819E-2</c:v>
                </c:pt>
                <c:pt idx="2">
                  <c:v>5.7312136217522722E-2</c:v>
                </c:pt>
                <c:pt idx="3">
                  <c:v>7.6416181623363638E-2</c:v>
                </c:pt>
                <c:pt idx="4">
                  <c:v>9.5520227029204541E-2</c:v>
                </c:pt>
                <c:pt idx="5">
                  <c:v>0.11462427243504544</c:v>
                </c:pt>
                <c:pt idx="6">
                  <c:v>0.13372831784088635</c:v>
                </c:pt>
                <c:pt idx="7">
                  <c:v>0.15283236324672728</c:v>
                </c:pt>
                <c:pt idx="8">
                  <c:v>0.17193640865256818</c:v>
                </c:pt>
                <c:pt idx="9">
                  <c:v>0.19104045405840908</c:v>
                </c:pt>
              </c:numCache>
            </c:numRef>
          </c:xVal>
          <c:yVal>
            <c:numRef>
              <c:f>'Capital Allocation'!$F$24:$F$33</c:f>
              <c:numCache>
                <c:formatCode>0.00%</c:formatCode>
                <c:ptCount val="10"/>
                <c:pt idx="0">
                  <c:v>8.0571624707377346E-2</c:v>
                </c:pt>
                <c:pt idx="1">
                  <c:v>8.4622731222016925E-2</c:v>
                </c:pt>
                <c:pt idx="2">
                  <c:v>9.1374575413082901E-2</c:v>
                </c:pt>
                <c:pt idx="3">
                  <c:v>0.10082715728057527</c:v>
                </c:pt>
                <c:pt idx="4">
                  <c:v>0.11298047682449402</c:v>
                </c:pt>
                <c:pt idx="5">
                  <c:v>0.12783453404483916</c:v>
                </c:pt>
                <c:pt idx="6">
                  <c:v>0.14538932894161069</c:v>
                </c:pt>
                <c:pt idx="7">
                  <c:v>0.16564486151480867</c:v>
                </c:pt>
                <c:pt idx="8">
                  <c:v>0.18860113176443297</c:v>
                </c:pt>
                <c:pt idx="9">
                  <c:v>0.21425813969048368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EB-3D4A-8E68-7C5BB44CB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413072"/>
        <c:axId val="457112208"/>
      </c:scatterChart>
      <c:valAx>
        <c:axId val="3244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57112208"/>
        <c:crosses val="autoZero"/>
        <c:crossBetween val="midCat"/>
      </c:valAx>
      <c:valAx>
        <c:axId val="457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3244130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Portfolio: Large</a:t>
            </a:r>
            <a:r>
              <a:rPr lang="en-US" baseline="0"/>
              <a:t>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EB0-5C4E-BD2E-C016549E7C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EB0-5C4E-BD2E-C016549E7C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EB0-5C4E-BD2E-C016549E7C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EB0-5C4E-BD2E-C016549E7C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EB0-5C4E-BD2E-C016549E7C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128-3B4C-887A-07CEA3134E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128-3B4C-887A-07CEA3134E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128-3B4C-887A-07CEA3134E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128-3B4C-887A-07CEA3134E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0128-3B4C-887A-07CEA3134E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0128-3B4C-887A-07CEA3134EB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128-3B4C-887A-07CEA3134EBF}"/>
              </c:ext>
            </c:extLst>
          </c:dPt>
          <c:dLbls>
            <c:dLbl>
              <c:idx val="1"/>
              <c:layout>
                <c:manualLayout>
                  <c:x val="-9.0588482139214457E-2"/>
                  <c:y val="-0.245416059899222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B0-5C4E-BD2E-C016549E7C97}"/>
                </c:ext>
              </c:extLst>
            </c:dLbl>
            <c:dLbl>
              <c:idx val="2"/>
              <c:layout>
                <c:manualLayout>
                  <c:x val="-1.5307412998245685E-2"/>
                  <c:y val="-0.1655125198139103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B0-5C4E-BD2E-C016549E7C97}"/>
                </c:ext>
              </c:extLst>
            </c:dLbl>
            <c:dLbl>
              <c:idx val="4"/>
              <c:layout>
                <c:manualLayout>
                  <c:x val="6.5856923324998887E-2"/>
                  <c:y val="0.11294218848666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B0-5C4E-BD2E-C016549E7C97}"/>
                </c:ext>
              </c:extLst>
            </c:dLbl>
            <c:numFmt formatCode="0.0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'Security Allocation'!$F$62:$Q$62</c:f>
              <c:strCache>
                <c:ptCount val="8"/>
                <c:pt idx="0">
                  <c:v>AMZN </c:v>
                </c:pt>
                <c:pt idx="1">
                  <c:v>TSLA </c:v>
                </c:pt>
                <c:pt idx="2">
                  <c:v>COST</c:v>
                </c:pt>
                <c:pt idx="3">
                  <c:v>NFLX</c:v>
                </c:pt>
                <c:pt idx="4">
                  <c:v>BKNG</c:v>
                </c:pt>
                <c:pt idx="5">
                  <c:v>HD </c:v>
                </c:pt>
                <c:pt idx="6">
                  <c:v>SBUX</c:v>
                </c:pt>
                <c:pt idx="7">
                  <c:v>WMT</c:v>
                </c:pt>
              </c:strCache>
            </c:strRef>
          </c:cat>
          <c:val>
            <c:numRef>
              <c:f>'Security Allocation'!$F$63:$Q$63</c:f>
              <c:numCache>
                <c:formatCode>0.0000</c:formatCode>
                <c:ptCount val="12"/>
                <c:pt idx="0">
                  <c:v>0.22447577811424518</c:v>
                </c:pt>
                <c:pt idx="1">
                  <c:v>2.0906551866706046E-2</c:v>
                </c:pt>
                <c:pt idx="2">
                  <c:v>0.21178371840763979</c:v>
                </c:pt>
                <c:pt idx="3">
                  <c:v>0.10065105349686482</c:v>
                </c:pt>
                <c:pt idx="4">
                  <c:v>0.12000204148146888</c:v>
                </c:pt>
                <c:pt idx="5">
                  <c:v>0.16881993774707593</c:v>
                </c:pt>
                <c:pt idx="6">
                  <c:v>1.7507913856664156E-2</c:v>
                </c:pt>
                <c:pt idx="7">
                  <c:v>0.13585300502933514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B-314F-AB19-E3D4CA4BF7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05430053628954"/>
          <c:y val="0.27611335745194016"/>
          <c:w val="0.14874414801981645"/>
          <c:h val="0.4617879690714336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Hypothetical Growth of the</a:t>
            </a:r>
            <a:r>
              <a:rPr lang="en-US" b="1" baseline="0"/>
              <a:t> Prices</a:t>
            </a:r>
            <a:br>
              <a:rPr lang="en-US" b="1" baseline="0"/>
            </a:b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59 months Back Data Tracking (2019 -2024)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SPDR SPY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Securities'!$C$56:$C$115</c:f>
              <c:numCache>
                <c:formatCode>General</c:formatCode>
                <c:ptCount val="60"/>
                <c:pt idx="0">
                  <c:v>88.32</c:v>
                </c:pt>
                <c:pt idx="1">
                  <c:v>96.38</c:v>
                </c:pt>
                <c:pt idx="2">
                  <c:v>100.57</c:v>
                </c:pt>
                <c:pt idx="3">
                  <c:v>96.14</c:v>
                </c:pt>
                <c:pt idx="4">
                  <c:v>97.69</c:v>
                </c:pt>
                <c:pt idx="5">
                  <c:v>87.23</c:v>
                </c:pt>
                <c:pt idx="6">
                  <c:v>87.94</c:v>
                </c:pt>
                <c:pt idx="7">
                  <c:v>83.71</c:v>
                </c:pt>
                <c:pt idx="8">
                  <c:v>82.13</c:v>
                </c:pt>
                <c:pt idx="9">
                  <c:v>81.28</c:v>
                </c:pt>
                <c:pt idx="10">
                  <c:v>79.290000000000006</c:v>
                </c:pt>
                <c:pt idx="11">
                  <c:v>77.709999999999994</c:v>
                </c:pt>
                <c:pt idx="12">
                  <c:v>81.97</c:v>
                </c:pt>
                <c:pt idx="13">
                  <c:v>80.91</c:v>
                </c:pt>
                <c:pt idx="14">
                  <c:v>74.790000000000006</c:v>
                </c:pt>
                <c:pt idx="15">
                  <c:v>75.77</c:v>
                </c:pt>
                <c:pt idx="16">
                  <c:v>71.27</c:v>
                </c:pt>
                <c:pt idx="17">
                  <c:v>64.63</c:v>
                </c:pt>
                <c:pt idx="18">
                  <c:v>66.95</c:v>
                </c:pt>
                <c:pt idx="19">
                  <c:v>70.959999999999994</c:v>
                </c:pt>
                <c:pt idx="20">
                  <c:v>73.040000000000006</c:v>
                </c:pt>
                <c:pt idx="21">
                  <c:v>71.17</c:v>
                </c:pt>
                <c:pt idx="22">
                  <c:v>64.56</c:v>
                </c:pt>
                <c:pt idx="23">
                  <c:v>64.400000000000006</c:v>
                </c:pt>
                <c:pt idx="24">
                  <c:v>64.69</c:v>
                </c:pt>
                <c:pt idx="25">
                  <c:v>63.31</c:v>
                </c:pt>
                <c:pt idx="26">
                  <c:v>65.040000000000006</c:v>
                </c:pt>
                <c:pt idx="27">
                  <c:v>56.96</c:v>
                </c:pt>
                <c:pt idx="28">
                  <c:v>63.26</c:v>
                </c:pt>
                <c:pt idx="29">
                  <c:v>61.3</c:v>
                </c:pt>
                <c:pt idx="30">
                  <c:v>58.2</c:v>
                </c:pt>
                <c:pt idx="31">
                  <c:v>63.63</c:v>
                </c:pt>
                <c:pt idx="32">
                  <c:v>65.510000000000005</c:v>
                </c:pt>
                <c:pt idx="33">
                  <c:v>56.74</c:v>
                </c:pt>
                <c:pt idx="34">
                  <c:v>63.6</c:v>
                </c:pt>
                <c:pt idx="35">
                  <c:v>66.66</c:v>
                </c:pt>
                <c:pt idx="36">
                  <c:v>75.040000000000006</c:v>
                </c:pt>
                <c:pt idx="37">
                  <c:v>73.569999999999993</c:v>
                </c:pt>
                <c:pt idx="38">
                  <c:v>75.86</c:v>
                </c:pt>
                <c:pt idx="39">
                  <c:v>84</c:v>
                </c:pt>
                <c:pt idx="40">
                  <c:v>82.91</c:v>
                </c:pt>
                <c:pt idx="41">
                  <c:v>83.91</c:v>
                </c:pt>
                <c:pt idx="42">
                  <c:v>77.31</c:v>
                </c:pt>
                <c:pt idx="43">
                  <c:v>79.709999999999994</c:v>
                </c:pt>
                <c:pt idx="44">
                  <c:v>78.11</c:v>
                </c:pt>
                <c:pt idx="45">
                  <c:v>77.61</c:v>
                </c:pt>
                <c:pt idx="46">
                  <c:v>76.69</c:v>
                </c:pt>
                <c:pt idx="47">
                  <c:v>78</c:v>
                </c:pt>
                <c:pt idx="48">
                  <c:v>74.83</c:v>
                </c:pt>
                <c:pt idx="49">
                  <c:v>72.260000000000005</c:v>
                </c:pt>
                <c:pt idx="50">
                  <c:v>68.94</c:v>
                </c:pt>
                <c:pt idx="51">
                  <c:v>70.5</c:v>
                </c:pt>
                <c:pt idx="52">
                  <c:v>68.38</c:v>
                </c:pt>
                <c:pt idx="53">
                  <c:v>60.62</c:v>
                </c:pt>
                <c:pt idx="54">
                  <c:v>62.5</c:v>
                </c:pt>
                <c:pt idx="55">
                  <c:v>63.65</c:v>
                </c:pt>
                <c:pt idx="56">
                  <c:v>58.49</c:v>
                </c:pt>
                <c:pt idx="57">
                  <c:v>54.76</c:v>
                </c:pt>
                <c:pt idx="58">
                  <c:v>54.44</c:v>
                </c:pt>
                <c:pt idx="59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F-A246-92F7-49584B407F2D}"/>
            </c:ext>
          </c:extLst>
        </c:ser>
        <c:ser>
          <c:idx val="1"/>
          <c:order val="1"/>
          <c:tx>
            <c:v>Active Pf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Securities'!$AT$56:$AT$115</c:f>
              <c:numCache>
                <c:formatCode>0.00</c:formatCode>
                <c:ptCount val="60"/>
                <c:pt idx="0">
                  <c:v>171.84987402969685</c:v>
                </c:pt>
                <c:pt idx="1">
                  <c:v>171.84987402969685</c:v>
                </c:pt>
                <c:pt idx="2">
                  <c:v>189.91549018547718</c:v>
                </c:pt>
                <c:pt idx="3">
                  <c:v>192.87675116226487</c:v>
                </c:pt>
                <c:pt idx="4">
                  <c:v>182.1545604985738</c:v>
                </c:pt>
                <c:pt idx="5">
                  <c:v>186.90664318300705</c:v>
                </c:pt>
                <c:pt idx="6">
                  <c:v>167.11973665542209</c:v>
                </c:pt>
                <c:pt idx="7">
                  <c:v>165.49762904963308</c:v>
                </c:pt>
                <c:pt idx="8">
                  <c:v>158.59281888165975</c:v>
                </c:pt>
                <c:pt idx="9">
                  <c:v>152.25103217325238</c:v>
                </c:pt>
                <c:pt idx="10">
                  <c:v>154.56489907183376</c:v>
                </c:pt>
                <c:pt idx="11">
                  <c:v>147.20539748305637</c:v>
                </c:pt>
                <c:pt idx="12">
                  <c:v>138.28989548814292</c:v>
                </c:pt>
                <c:pt idx="13">
                  <c:v>145.79944543212957</c:v>
                </c:pt>
                <c:pt idx="14">
                  <c:v>144.97535223254067</c:v>
                </c:pt>
                <c:pt idx="15">
                  <c:v>135.22594060146358</c:v>
                </c:pt>
                <c:pt idx="16">
                  <c:v>131.15545934069357</c:v>
                </c:pt>
                <c:pt idx="17">
                  <c:v>122.18066908379458</c:v>
                </c:pt>
                <c:pt idx="18">
                  <c:v>113.17052697751686</c:v>
                </c:pt>
                <c:pt idx="19">
                  <c:v>114.4062944360353</c:v>
                </c:pt>
                <c:pt idx="20">
                  <c:v>120.09834168982607</c:v>
                </c:pt>
                <c:pt idx="21">
                  <c:v>119.77150660725306</c:v>
                </c:pt>
                <c:pt idx="22">
                  <c:v>115.33624074963539</c:v>
                </c:pt>
                <c:pt idx="23">
                  <c:v>106.95528125833887</c:v>
                </c:pt>
                <c:pt idx="24">
                  <c:v>103.49978538269505</c:v>
                </c:pt>
                <c:pt idx="25">
                  <c:v>103.02989558325491</c:v>
                </c:pt>
                <c:pt idx="26">
                  <c:v>98.896834622442128</c:v>
                </c:pt>
                <c:pt idx="27">
                  <c:v>104.31224415269472</c:v>
                </c:pt>
                <c:pt idx="28">
                  <c:v>91.929221912766863</c:v>
                </c:pt>
                <c:pt idx="29">
                  <c:v>101.5039632615171</c:v>
                </c:pt>
                <c:pt idx="30">
                  <c:v>97.288294107738125</c:v>
                </c:pt>
                <c:pt idx="31">
                  <c:v>92.449602528116586</c:v>
                </c:pt>
                <c:pt idx="32">
                  <c:v>99.2627502601473</c:v>
                </c:pt>
                <c:pt idx="33">
                  <c:v>103.09365178682054</c:v>
                </c:pt>
                <c:pt idx="34">
                  <c:v>88.642959098228772</c:v>
                </c:pt>
                <c:pt idx="35">
                  <c:v>97.179577875770718</c:v>
                </c:pt>
                <c:pt idx="36">
                  <c:v>102.67656704338371</c:v>
                </c:pt>
                <c:pt idx="37">
                  <c:v>118.35685356621185</c:v>
                </c:pt>
                <c:pt idx="38">
                  <c:v>112.95305922578837</c:v>
                </c:pt>
                <c:pt idx="39">
                  <c:v>118.1369860685121</c:v>
                </c:pt>
                <c:pt idx="40">
                  <c:v>132.10138251583811</c:v>
                </c:pt>
                <c:pt idx="41">
                  <c:v>129.9100072057295</c:v>
                </c:pt>
                <c:pt idx="42">
                  <c:v>128.69347000298615</c:v>
                </c:pt>
                <c:pt idx="43">
                  <c:v>119.32776201133579</c:v>
                </c:pt>
                <c:pt idx="44">
                  <c:v>121.03816000075294</c:v>
                </c:pt>
                <c:pt idx="45">
                  <c:v>116.30363610430001</c:v>
                </c:pt>
                <c:pt idx="46">
                  <c:v>114.8211213730512</c:v>
                </c:pt>
                <c:pt idx="47">
                  <c:v>112.77479420591648</c:v>
                </c:pt>
                <c:pt idx="48">
                  <c:v>115.78988639638126</c:v>
                </c:pt>
                <c:pt idx="49">
                  <c:v>109.52717562175212</c:v>
                </c:pt>
                <c:pt idx="50">
                  <c:v>104.91771235774043</c:v>
                </c:pt>
                <c:pt idx="51">
                  <c:v>106.89292727799868</c:v>
                </c:pt>
                <c:pt idx="52">
                  <c:v>110.96875543932826</c:v>
                </c:pt>
                <c:pt idx="53">
                  <c:v>109.4526377503657</c:v>
                </c:pt>
                <c:pt idx="54">
                  <c:v>100.22764547604193</c:v>
                </c:pt>
                <c:pt idx="55">
                  <c:v>103.40082330642583</c:v>
                </c:pt>
                <c:pt idx="56">
                  <c:v>108.02127139886184</c:v>
                </c:pt>
                <c:pt idx="57">
                  <c:v>98.456500915769766</c:v>
                </c:pt>
                <c:pt idx="58">
                  <c:v>90.635390340141356</c:v>
                </c:pt>
                <c:pt idx="59">
                  <c:v>88.097528144991998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F-A246-92F7-49584B407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204911"/>
        <c:axId val="940085008"/>
      </c:lineChart>
      <c:catAx>
        <c:axId val="1204204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40085008"/>
        <c:crosses val="autoZero"/>
        <c:auto val="1"/>
        <c:lblAlgn val="ctr"/>
        <c:lblOffset val="100"/>
        <c:noMultiLvlLbl val="0"/>
      </c:catAx>
      <c:valAx>
        <c:axId val="9400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0420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Benchmark Excess Return vs. Active Pf Excess Return. 120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months Back Data Tracking (2015 -2025)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'Data. Securities'!$E$55</c:f>
              <c:strCache>
                <c:ptCount val="1"/>
                <c:pt idx="0">
                  <c:v>Benchmark
 Exces 
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Securities'!$B$57:$B$176</c:f>
              <c:numCache>
                <c:formatCode>m/d/yy</c:formatCode>
                <c:ptCount val="120"/>
                <c:pt idx="0">
                  <c:v>45659</c:v>
                </c:pt>
                <c:pt idx="1">
                  <c:v>45658</c:v>
                </c:pt>
                <c:pt idx="2">
                  <c:v>45303</c:v>
                </c:pt>
                <c:pt idx="3">
                  <c:v>45302</c:v>
                </c:pt>
                <c:pt idx="4">
                  <c:v>45301</c:v>
                </c:pt>
                <c:pt idx="5">
                  <c:v>45300</c:v>
                </c:pt>
                <c:pt idx="6">
                  <c:v>45299</c:v>
                </c:pt>
                <c:pt idx="7">
                  <c:v>45298</c:v>
                </c:pt>
                <c:pt idx="8">
                  <c:v>45297</c:v>
                </c:pt>
                <c:pt idx="9">
                  <c:v>45296</c:v>
                </c:pt>
                <c:pt idx="10">
                  <c:v>45295</c:v>
                </c:pt>
                <c:pt idx="11">
                  <c:v>45294</c:v>
                </c:pt>
                <c:pt idx="12">
                  <c:v>45293</c:v>
                </c:pt>
                <c:pt idx="13">
                  <c:v>45292</c:v>
                </c:pt>
                <c:pt idx="14">
                  <c:v>44938</c:v>
                </c:pt>
                <c:pt idx="15">
                  <c:v>44937</c:v>
                </c:pt>
                <c:pt idx="16">
                  <c:v>44936</c:v>
                </c:pt>
                <c:pt idx="17">
                  <c:v>44935</c:v>
                </c:pt>
                <c:pt idx="18">
                  <c:v>44934</c:v>
                </c:pt>
                <c:pt idx="19">
                  <c:v>44933</c:v>
                </c:pt>
                <c:pt idx="20">
                  <c:v>44932</c:v>
                </c:pt>
                <c:pt idx="21">
                  <c:v>44931</c:v>
                </c:pt>
                <c:pt idx="22">
                  <c:v>44930</c:v>
                </c:pt>
                <c:pt idx="23">
                  <c:v>44929</c:v>
                </c:pt>
                <c:pt idx="24">
                  <c:v>44928</c:v>
                </c:pt>
                <c:pt idx="25">
                  <c:v>44927</c:v>
                </c:pt>
                <c:pt idx="26">
                  <c:v>44573</c:v>
                </c:pt>
                <c:pt idx="27">
                  <c:v>44572</c:v>
                </c:pt>
                <c:pt idx="28">
                  <c:v>44571</c:v>
                </c:pt>
                <c:pt idx="29">
                  <c:v>44570</c:v>
                </c:pt>
                <c:pt idx="30">
                  <c:v>44569</c:v>
                </c:pt>
                <c:pt idx="31">
                  <c:v>44568</c:v>
                </c:pt>
                <c:pt idx="32">
                  <c:v>44567</c:v>
                </c:pt>
                <c:pt idx="33">
                  <c:v>44566</c:v>
                </c:pt>
                <c:pt idx="34">
                  <c:v>44565</c:v>
                </c:pt>
                <c:pt idx="35">
                  <c:v>44564</c:v>
                </c:pt>
                <c:pt idx="36">
                  <c:v>44563</c:v>
                </c:pt>
                <c:pt idx="37">
                  <c:v>44562</c:v>
                </c:pt>
                <c:pt idx="38">
                  <c:v>44208</c:v>
                </c:pt>
                <c:pt idx="39">
                  <c:v>44207</c:v>
                </c:pt>
                <c:pt idx="40">
                  <c:v>44206</c:v>
                </c:pt>
                <c:pt idx="41">
                  <c:v>44205</c:v>
                </c:pt>
                <c:pt idx="42">
                  <c:v>44204</c:v>
                </c:pt>
                <c:pt idx="43">
                  <c:v>44203</c:v>
                </c:pt>
                <c:pt idx="44">
                  <c:v>44202</c:v>
                </c:pt>
                <c:pt idx="45">
                  <c:v>44201</c:v>
                </c:pt>
                <c:pt idx="46">
                  <c:v>44200</c:v>
                </c:pt>
                <c:pt idx="47">
                  <c:v>44199</c:v>
                </c:pt>
                <c:pt idx="48">
                  <c:v>44198</c:v>
                </c:pt>
                <c:pt idx="49">
                  <c:v>44197</c:v>
                </c:pt>
                <c:pt idx="50">
                  <c:v>43842</c:v>
                </c:pt>
                <c:pt idx="51">
                  <c:v>43841</c:v>
                </c:pt>
                <c:pt idx="52">
                  <c:v>43840</c:v>
                </c:pt>
                <c:pt idx="53">
                  <c:v>43839</c:v>
                </c:pt>
                <c:pt idx="54">
                  <c:v>43838</c:v>
                </c:pt>
                <c:pt idx="55">
                  <c:v>43837</c:v>
                </c:pt>
                <c:pt idx="56">
                  <c:v>43836</c:v>
                </c:pt>
                <c:pt idx="57">
                  <c:v>43835</c:v>
                </c:pt>
                <c:pt idx="58">
                  <c:v>43834</c:v>
                </c:pt>
                <c:pt idx="59">
                  <c:v>43833</c:v>
                </c:pt>
                <c:pt idx="60">
                  <c:v>43832</c:v>
                </c:pt>
                <c:pt idx="61">
                  <c:v>43831</c:v>
                </c:pt>
                <c:pt idx="62">
                  <c:v>43477</c:v>
                </c:pt>
                <c:pt idx="63">
                  <c:v>43476</c:v>
                </c:pt>
                <c:pt idx="64">
                  <c:v>43475</c:v>
                </c:pt>
                <c:pt idx="65">
                  <c:v>43474</c:v>
                </c:pt>
                <c:pt idx="66">
                  <c:v>43473</c:v>
                </c:pt>
                <c:pt idx="67">
                  <c:v>43472</c:v>
                </c:pt>
                <c:pt idx="68">
                  <c:v>43471</c:v>
                </c:pt>
                <c:pt idx="69">
                  <c:v>43470</c:v>
                </c:pt>
                <c:pt idx="70">
                  <c:v>43469</c:v>
                </c:pt>
                <c:pt idx="71">
                  <c:v>43468</c:v>
                </c:pt>
                <c:pt idx="72">
                  <c:v>43467</c:v>
                </c:pt>
                <c:pt idx="73">
                  <c:v>43466</c:v>
                </c:pt>
                <c:pt idx="74">
                  <c:v>43112</c:v>
                </c:pt>
                <c:pt idx="75">
                  <c:v>43111</c:v>
                </c:pt>
                <c:pt idx="76">
                  <c:v>43110</c:v>
                </c:pt>
                <c:pt idx="77">
                  <c:v>43109</c:v>
                </c:pt>
                <c:pt idx="78">
                  <c:v>43108</c:v>
                </c:pt>
                <c:pt idx="79">
                  <c:v>43107</c:v>
                </c:pt>
                <c:pt idx="80">
                  <c:v>43106</c:v>
                </c:pt>
                <c:pt idx="81">
                  <c:v>43105</c:v>
                </c:pt>
                <c:pt idx="82">
                  <c:v>43104</c:v>
                </c:pt>
                <c:pt idx="83">
                  <c:v>43103</c:v>
                </c:pt>
                <c:pt idx="84">
                  <c:v>43102</c:v>
                </c:pt>
                <c:pt idx="85">
                  <c:v>43101</c:v>
                </c:pt>
                <c:pt idx="86">
                  <c:v>42747</c:v>
                </c:pt>
                <c:pt idx="87">
                  <c:v>42746</c:v>
                </c:pt>
                <c:pt idx="88">
                  <c:v>42745</c:v>
                </c:pt>
                <c:pt idx="89">
                  <c:v>42744</c:v>
                </c:pt>
                <c:pt idx="90">
                  <c:v>42743</c:v>
                </c:pt>
                <c:pt idx="91">
                  <c:v>42742</c:v>
                </c:pt>
                <c:pt idx="92">
                  <c:v>42741</c:v>
                </c:pt>
                <c:pt idx="93">
                  <c:v>42740</c:v>
                </c:pt>
                <c:pt idx="94">
                  <c:v>42739</c:v>
                </c:pt>
                <c:pt idx="95">
                  <c:v>42738</c:v>
                </c:pt>
                <c:pt idx="96">
                  <c:v>42737</c:v>
                </c:pt>
                <c:pt idx="97">
                  <c:v>42736</c:v>
                </c:pt>
                <c:pt idx="98">
                  <c:v>42381</c:v>
                </c:pt>
                <c:pt idx="99">
                  <c:v>42380</c:v>
                </c:pt>
                <c:pt idx="100">
                  <c:v>42379</c:v>
                </c:pt>
                <c:pt idx="101">
                  <c:v>42378</c:v>
                </c:pt>
                <c:pt idx="102">
                  <c:v>42377</c:v>
                </c:pt>
                <c:pt idx="103">
                  <c:v>42376</c:v>
                </c:pt>
                <c:pt idx="104">
                  <c:v>42375</c:v>
                </c:pt>
                <c:pt idx="105">
                  <c:v>42374</c:v>
                </c:pt>
                <c:pt idx="106">
                  <c:v>42373</c:v>
                </c:pt>
                <c:pt idx="107">
                  <c:v>42372</c:v>
                </c:pt>
                <c:pt idx="108">
                  <c:v>42371</c:v>
                </c:pt>
                <c:pt idx="109">
                  <c:v>42370</c:v>
                </c:pt>
                <c:pt idx="110">
                  <c:v>42016</c:v>
                </c:pt>
                <c:pt idx="111">
                  <c:v>42015</c:v>
                </c:pt>
                <c:pt idx="112">
                  <c:v>42014</c:v>
                </c:pt>
                <c:pt idx="113">
                  <c:v>42013</c:v>
                </c:pt>
                <c:pt idx="114">
                  <c:v>42012</c:v>
                </c:pt>
                <c:pt idx="115">
                  <c:v>42011</c:v>
                </c:pt>
                <c:pt idx="116">
                  <c:v>42010</c:v>
                </c:pt>
                <c:pt idx="117">
                  <c:v>42009</c:v>
                </c:pt>
                <c:pt idx="118">
                  <c:v>42008</c:v>
                </c:pt>
                <c:pt idx="119">
                  <c:v>42007</c:v>
                </c:pt>
              </c:numCache>
            </c:numRef>
          </c:cat>
          <c:val>
            <c:numRef>
              <c:f>'Data. Securities'!$E$57:$E$176</c:f>
              <c:numCache>
                <c:formatCode>0.00%</c:formatCode>
                <c:ptCount val="120"/>
                <c:pt idx="0">
                  <c:v>-8.716564190357616E-2</c:v>
                </c:pt>
                <c:pt idx="1">
                  <c:v>-4.5200856948725575E-2</c:v>
                </c:pt>
                <c:pt idx="2">
                  <c:v>4.2540301990153177E-2</c:v>
                </c:pt>
                <c:pt idx="3">
                  <c:v>-1.9404849865219887E-2</c:v>
                </c:pt>
                <c:pt idx="4">
                  <c:v>0.11637454067790125</c:v>
                </c:pt>
                <c:pt idx="5">
                  <c:v>-1.1612019937836332E-2</c:v>
                </c:pt>
                <c:pt idx="6">
                  <c:v>4.6993263847409761E-2</c:v>
                </c:pt>
                <c:pt idx="7">
                  <c:v>1.5699460408295771E-2</c:v>
                </c:pt>
                <c:pt idx="8">
                  <c:v>6.9193438320209275E-3</c:v>
                </c:pt>
                <c:pt idx="9">
                  <c:v>2.1559409131037894E-2</c:v>
                </c:pt>
                <c:pt idx="10">
                  <c:v>1.6793670269806708E-2</c:v>
                </c:pt>
                <c:pt idx="11">
                  <c:v>-5.5508566345410987E-2</c:v>
                </c:pt>
                <c:pt idx="12">
                  <c:v>9.562643060190364E-3</c:v>
                </c:pt>
                <c:pt idx="13">
                  <c:v>7.8290788206979406E-2</c:v>
                </c:pt>
                <c:pt idx="14">
                  <c:v>-1.6472212177202804E-2</c:v>
                </c:pt>
                <c:pt idx="15">
                  <c:v>5.9601837846686316E-2</c:v>
                </c:pt>
                <c:pt idx="16">
                  <c:v>9.920033292072826E-2</c:v>
                </c:pt>
                <c:pt idx="17">
                  <c:v>-3.8191059248195276E-2</c:v>
                </c:pt>
                <c:pt idx="18">
                  <c:v>-6.0049043592634223E-2</c:v>
                </c:pt>
                <c:pt idx="19">
                  <c:v>-3.2015879883169208E-2</c:v>
                </c:pt>
                <c:pt idx="20">
                  <c:v>2.2736782586295787E-2</c:v>
                </c:pt>
                <c:pt idx="21">
                  <c:v>9.884704460966541E-2</c:v>
                </c:pt>
                <c:pt idx="22">
                  <c:v>-1.0538612836439453E-3</c:v>
                </c:pt>
                <c:pt idx="23">
                  <c:v>-8.0212518678825992E-3</c:v>
                </c:pt>
                <c:pt idx="24">
                  <c:v>1.825917101037217E-2</c:v>
                </c:pt>
                <c:pt idx="25">
                  <c:v>-3.0137349323493295E-2</c:v>
                </c:pt>
                <c:pt idx="26">
                  <c:v>0.13831559925093642</c:v>
                </c:pt>
                <c:pt idx="27">
                  <c:v>-0.10312733112024446</c:v>
                </c:pt>
                <c:pt idx="28">
                  <c:v>2.8435565524741722E-2</c:v>
                </c:pt>
                <c:pt idx="29">
                  <c:v>4.9726271477663134E-2</c:v>
                </c:pt>
                <c:pt idx="30">
                  <c:v>-8.8875438472418661E-2</c:v>
                </c:pt>
                <c:pt idx="31">
                  <c:v>-3.2236242049559903E-2</c:v>
                </c:pt>
                <c:pt idx="32">
                  <c:v>0.15102634766772416</c:v>
                </c:pt>
                <c:pt idx="33">
                  <c:v>-0.11139996855345911</c:v>
                </c:pt>
                <c:pt idx="34">
                  <c:v>-4.9442923792379162E-2</c:v>
                </c:pt>
                <c:pt idx="35">
                  <c:v>-0.11521210732054028</c:v>
                </c:pt>
                <c:pt idx="36">
                  <c:v>1.6442637170948481E-2</c:v>
                </c:pt>
                <c:pt idx="37">
                  <c:v>-3.3725520256613142E-2</c:v>
                </c:pt>
                <c:pt idx="38">
                  <c:v>-0.10044309523809525</c:v>
                </c:pt>
                <c:pt idx="39">
                  <c:v>9.6084523378764542E-3</c:v>
                </c:pt>
                <c:pt idx="40">
                  <c:v>-1.5455864020974854E-2</c:v>
                </c:pt>
                <c:pt idx="41">
                  <c:v>8.1832252619324711E-2</c:v>
                </c:pt>
                <c:pt idx="42">
                  <c:v>-3.3647478986325322E-2</c:v>
                </c:pt>
                <c:pt idx="43">
                  <c:v>1.6945599581786295E-2</c:v>
                </c:pt>
                <c:pt idx="44">
                  <c:v>2.9041354206932103E-3</c:v>
                </c:pt>
                <c:pt idx="45">
                  <c:v>8.4580156039466489E-3</c:v>
                </c:pt>
                <c:pt idx="46">
                  <c:v>-2.0333205128205158E-2</c:v>
                </c:pt>
                <c:pt idx="47">
                  <c:v>3.8824355427858726E-2</c:v>
                </c:pt>
                <c:pt idx="48">
                  <c:v>3.2027678291355194E-2</c:v>
                </c:pt>
                <c:pt idx="49">
                  <c:v>4.4619485059472115E-2</c:v>
                </c:pt>
                <c:pt idx="50">
                  <c:v>-2.5665992907801451E-2</c:v>
                </c:pt>
                <c:pt idx="51">
                  <c:v>2.7464883981671122E-2</c:v>
                </c:pt>
                <c:pt idx="52">
                  <c:v>0.12447222423842513</c:v>
                </c:pt>
                <c:pt idx="53">
                  <c:v>-3.3618333333333375E-2</c:v>
                </c:pt>
                <c:pt idx="54">
                  <c:v>-2.160589028541501E-2</c:v>
                </c:pt>
                <c:pt idx="55">
                  <c:v>8.468187524933031E-2</c:v>
                </c:pt>
                <c:pt idx="56">
                  <c:v>6.4577079376674049E-2</c:v>
                </c:pt>
                <c:pt idx="57">
                  <c:v>2.3396975263286859E-3</c:v>
                </c:pt>
                <c:pt idx="58">
                  <c:v>5.9950629354691677E-2</c:v>
                </c:pt>
                <c:pt idx="59">
                  <c:v>0.15225304169488971</c:v>
                </c:pt>
                <c:pt idx="60">
                  <c:v>-0.15344236404350611</c:v>
                </c:pt>
                <c:pt idx="61">
                  <c:v>-8.3043633686690224E-2</c:v>
                </c:pt>
                <c:pt idx="62">
                  <c:v>-1.1600022783035416E-2</c:v>
                </c:pt>
                <c:pt idx="63">
                  <c:v>8.3432059466808841E-3</c:v>
                </c:pt>
                <c:pt idx="64">
                  <c:v>2.2480589519650648E-2</c:v>
                </c:pt>
                <c:pt idx="65">
                  <c:v>7.6852177246243391E-3</c:v>
                </c:pt>
                <c:pt idx="66">
                  <c:v>-9.027811832875824E-3</c:v>
                </c:pt>
                <c:pt idx="67">
                  <c:v>-9.5405159451921601E-3</c:v>
                </c:pt>
                <c:pt idx="68">
                  <c:v>6.5663883275154118E-3</c:v>
                </c:pt>
                <c:pt idx="69">
                  <c:v>6.3089140701548072E-2</c:v>
                </c:pt>
                <c:pt idx="70">
                  <c:v>-6.4105343642611667E-2</c:v>
                </c:pt>
                <c:pt idx="71">
                  <c:v>5.989158052727752E-2</c:v>
                </c:pt>
                <c:pt idx="72">
                  <c:v>1.8061666666666632E-2</c:v>
                </c:pt>
                <c:pt idx="73">
                  <c:v>1.086621119902619E-2</c:v>
                </c:pt>
                <c:pt idx="74">
                  <c:v>8.6466089488426948E-2</c:v>
                </c:pt>
                <c:pt idx="75">
                  <c:v>-9.6416969241056555E-2</c:v>
                </c:pt>
                <c:pt idx="76">
                  <c:v>2.1127648167180598E-2</c:v>
                </c:pt>
                <c:pt idx="77">
                  <c:v>-8.4573467447424749E-2</c:v>
                </c:pt>
                <c:pt idx="78">
                  <c:v>4.4586202081745609E-3</c:v>
                </c:pt>
                <c:pt idx="79">
                  <c:v>5.5546159507965306E-2</c:v>
                </c:pt>
                <c:pt idx="80">
                  <c:v>2.0202376823561911E-2</c:v>
                </c:pt>
                <c:pt idx="81">
                  <c:v>2.8417354779150691E-2</c:v>
                </c:pt>
                <c:pt idx="82">
                  <c:v>8.972451826286993E-3</c:v>
                </c:pt>
                <c:pt idx="83">
                  <c:v>1.3574435424893986E-2</c:v>
                </c:pt>
                <c:pt idx="84">
                  <c:v>-3.1061269113149832E-2</c:v>
                </c:pt>
                <c:pt idx="85">
                  <c:v>-4.4070574889116421E-2</c:v>
                </c:pt>
                <c:pt idx="86">
                  <c:v>8.6620113441940011E-2</c:v>
                </c:pt>
                <c:pt idx="87">
                  <c:v>1.9054090217556715E-2</c:v>
                </c:pt>
                <c:pt idx="88">
                  <c:v>5.7992674418604631E-2</c:v>
                </c:pt>
                <c:pt idx="89">
                  <c:v>3.0454267251890555E-3</c:v>
                </c:pt>
                <c:pt idx="90">
                  <c:v>1.3273861967691121E-4</c:v>
                </c:pt>
                <c:pt idx="91">
                  <c:v>-2.462122743970618E-2</c:v>
                </c:pt>
                <c:pt idx="92">
                  <c:v>1.376607807295477E-2</c:v>
                </c:pt>
                <c:pt idx="93">
                  <c:v>-2.3834417382999077E-2</c:v>
                </c:pt>
                <c:pt idx="94">
                  <c:v>1.0259778503994198E-2</c:v>
                </c:pt>
                <c:pt idx="95">
                  <c:v>2.3307304250559418E-2</c:v>
                </c:pt>
                <c:pt idx="96">
                  <c:v>7.265686767169174E-3</c:v>
                </c:pt>
                <c:pt idx="97">
                  <c:v>1.9597913453299021E-2</c:v>
                </c:pt>
                <c:pt idx="98">
                  <c:v>2.6652344632768377E-2</c:v>
                </c:pt>
                <c:pt idx="99">
                  <c:v>-4.3321941430713891E-3</c:v>
                </c:pt>
                <c:pt idx="100">
                  <c:v>4.8228992021523316E-2</c:v>
                </c:pt>
                <c:pt idx="101">
                  <c:v>-2.6648719412724346E-2</c:v>
                </c:pt>
                <c:pt idx="102">
                  <c:v>-5.4379262777024045E-3</c:v>
                </c:pt>
                <c:pt idx="103">
                  <c:v>-1.6396624252165287E-2</c:v>
                </c:pt>
                <c:pt idx="104">
                  <c:v>3.7454416248373278E-2</c:v>
                </c:pt>
                <c:pt idx="105">
                  <c:v>-1.3204171499585788E-2</c:v>
                </c:pt>
                <c:pt idx="106">
                  <c:v>6.4770879527048433E-5</c:v>
                </c:pt>
                <c:pt idx="107">
                  <c:v>-1.368922496570657E-2</c:v>
                </c:pt>
                <c:pt idx="108">
                  <c:v>5.1759871646400418E-2</c:v>
                </c:pt>
                <c:pt idx="109">
                  <c:v>5.2233489096572376E-3</c:v>
                </c:pt>
                <c:pt idx="110">
                  <c:v>-5.6635678466076547E-2</c:v>
                </c:pt>
                <c:pt idx="111">
                  <c:v>-1.6369346164346328E-2</c:v>
                </c:pt>
                <c:pt idx="112">
                  <c:v>-1.2734979262464962E-2</c:v>
                </c:pt>
                <c:pt idx="113">
                  <c:v>7.1170968992248063E-2</c:v>
                </c:pt>
                <c:pt idx="114">
                  <c:v>-2.0961926592402157E-2</c:v>
                </c:pt>
                <c:pt idx="115">
                  <c:v>-7.2421312056737686E-2</c:v>
                </c:pt>
                <c:pt idx="116">
                  <c:v>4.7328072479970194E-2</c:v>
                </c:pt>
                <c:pt idx="117">
                  <c:v>-1.1027931114193141E-2</c:v>
                </c:pt>
                <c:pt idx="118">
                  <c:v>7.1148766470422054E-3</c:v>
                </c:pt>
                <c:pt idx="119">
                  <c:v>-1.4079248728617535E-2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6-F24A-A5CE-37C390A676A2}"/>
            </c:ext>
          </c:extLst>
        </c:ser>
        <c:ser>
          <c:idx val="1"/>
          <c:order val="1"/>
          <c:tx>
            <c:strRef>
              <c:f>'Data. Securities'!$AU$55</c:f>
              <c:strCache>
                <c:ptCount val="1"/>
                <c:pt idx="0">
                  <c:v>Active Pf Exces 
return 
(Back data)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Securities'!$B$57:$B$176</c:f>
              <c:numCache>
                <c:formatCode>m/d/yy</c:formatCode>
                <c:ptCount val="120"/>
                <c:pt idx="0">
                  <c:v>45659</c:v>
                </c:pt>
                <c:pt idx="1">
                  <c:v>45658</c:v>
                </c:pt>
                <c:pt idx="2">
                  <c:v>45303</c:v>
                </c:pt>
                <c:pt idx="3">
                  <c:v>45302</c:v>
                </c:pt>
                <c:pt idx="4">
                  <c:v>45301</c:v>
                </c:pt>
                <c:pt idx="5">
                  <c:v>45300</c:v>
                </c:pt>
                <c:pt idx="6">
                  <c:v>45299</c:v>
                </c:pt>
                <c:pt idx="7">
                  <c:v>45298</c:v>
                </c:pt>
                <c:pt idx="8">
                  <c:v>45297</c:v>
                </c:pt>
                <c:pt idx="9">
                  <c:v>45296</c:v>
                </c:pt>
                <c:pt idx="10">
                  <c:v>45295</c:v>
                </c:pt>
                <c:pt idx="11">
                  <c:v>45294</c:v>
                </c:pt>
                <c:pt idx="12">
                  <c:v>45293</c:v>
                </c:pt>
                <c:pt idx="13">
                  <c:v>45292</c:v>
                </c:pt>
                <c:pt idx="14">
                  <c:v>44938</c:v>
                </c:pt>
                <c:pt idx="15">
                  <c:v>44937</c:v>
                </c:pt>
                <c:pt idx="16">
                  <c:v>44936</c:v>
                </c:pt>
                <c:pt idx="17">
                  <c:v>44935</c:v>
                </c:pt>
                <c:pt idx="18">
                  <c:v>44934</c:v>
                </c:pt>
                <c:pt idx="19">
                  <c:v>44933</c:v>
                </c:pt>
                <c:pt idx="20">
                  <c:v>44932</c:v>
                </c:pt>
                <c:pt idx="21">
                  <c:v>44931</c:v>
                </c:pt>
                <c:pt idx="22">
                  <c:v>44930</c:v>
                </c:pt>
                <c:pt idx="23">
                  <c:v>44929</c:v>
                </c:pt>
                <c:pt idx="24">
                  <c:v>44928</c:v>
                </c:pt>
                <c:pt idx="25">
                  <c:v>44927</c:v>
                </c:pt>
                <c:pt idx="26">
                  <c:v>44573</c:v>
                </c:pt>
                <c:pt idx="27">
                  <c:v>44572</c:v>
                </c:pt>
                <c:pt idx="28">
                  <c:v>44571</c:v>
                </c:pt>
                <c:pt idx="29">
                  <c:v>44570</c:v>
                </c:pt>
                <c:pt idx="30">
                  <c:v>44569</c:v>
                </c:pt>
                <c:pt idx="31">
                  <c:v>44568</c:v>
                </c:pt>
                <c:pt idx="32">
                  <c:v>44567</c:v>
                </c:pt>
                <c:pt idx="33">
                  <c:v>44566</c:v>
                </c:pt>
                <c:pt idx="34">
                  <c:v>44565</c:v>
                </c:pt>
                <c:pt idx="35">
                  <c:v>44564</c:v>
                </c:pt>
                <c:pt idx="36">
                  <c:v>44563</c:v>
                </c:pt>
                <c:pt idx="37">
                  <c:v>44562</c:v>
                </c:pt>
                <c:pt idx="38">
                  <c:v>44208</c:v>
                </c:pt>
                <c:pt idx="39">
                  <c:v>44207</c:v>
                </c:pt>
                <c:pt idx="40">
                  <c:v>44206</c:v>
                </c:pt>
                <c:pt idx="41">
                  <c:v>44205</c:v>
                </c:pt>
                <c:pt idx="42">
                  <c:v>44204</c:v>
                </c:pt>
                <c:pt idx="43">
                  <c:v>44203</c:v>
                </c:pt>
                <c:pt idx="44">
                  <c:v>44202</c:v>
                </c:pt>
                <c:pt idx="45">
                  <c:v>44201</c:v>
                </c:pt>
                <c:pt idx="46">
                  <c:v>44200</c:v>
                </c:pt>
                <c:pt idx="47">
                  <c:v>44199</c:v>
                </c:pt>
                <c:pt idx="48">
                  <c:v>44198</c:v>
                </c:pt>
                <c:pt idx="49">
                  <c:v>44197</c:v>
                </c:pt>
                <c:pt idx="50">
                  <c:v>43842</c:v>
                </c:pt>
                <c:pt idx="51">
                  <c:v>43841</c:v>
                </c:pt>
                <c:pt idx="52">
                  <c:v>43840</c:v>
                </c:pt>
                <c:pt idx="53">
                  <c:v>43839</c:v>
                </c:pt>
                <c:pt idx="54">
                  <c:v>43838</c:v>
                </c:pt>
                <c:pt idx="55">
                  <c:v>43837</c:v>
                </c:pt>
                <c:pt idx="56">
                  <c:v>43836</c:v>
                </c:pt>
                <c:pt idx="57">
                  <c:v>43835</c:v>
                </c:pt>
                <c:pt idx="58">
                  <c:v>43834</c:v>
                </c:pt>
                <c:pt idx="59">
                  <c:v>43833</c:v>
                </c:pt>
                <c:pt idx="60">
                  <c:v>43832</c:v>
                </c:pt>
                <c:pt idx="61">
                  <c:v>43831</c:v>
                </c:pt>
                <c:pt idx="62">
                  <c:v>43477</c:v>
                </c:pt>
                <c:pt idx="63">
                  <c:v>43476</c:v>
                </c:pt>
                <c:pt idx="64">
                  <c:v>43475</c:v>
                </c:pt>
                <c:pt idx="65">
                  <c:v>43474</c:v>
                </c:pt>
                <c:pt idx="66">
                  <c:v>43473</c:v>
                </c:pt>
                <c:pt idx="67">
                  <c:v>43472</c:v>
                </c:pt>
                <c:pt idx="68">
                  <c:v>43471</c:v>
                </c:pt>
                <c:pt idx="69">
                  <c:v>43470</c:v>
                </c:pt>
                <c:pt idx="70">
                  <c:v>43469</c:v>
                </c:pt>
                <c:pt idx="71">
                  <c:v>43468</c:v>
                </c:pt>
                <c:pt idx="72">
                  <c:v>43467</c:v>
                </c:pt>
                <c:pt idx="73">
                  <c:v>43466</c:v>
                </c:pt>
                <c:pt idx="74">
                  <c:v>43112</c:v>
                </c:pt>
                <c:pt idx="75">
                  <c:v>43111</c:v>
                </c:pt>
                <c:pt idx="76">
                  <c:v>43110</c:v>
                </c:pt>
                <c:pt idx="77">
                  <c:v>43109</c:v>
                </c:pt>
                <c:pt idx="78">
                  <c:v>43108</c:v>
                </c:pt>
                <c:pt idx="79">
                  <c:v>43107</c:v>
                </c:pt>
                <c:pt idx="80">
                  <c:v>43106</c:v>
                </c:pt>
                <c:pt idx="81">
                  <c:v>43105</c:v>
                </c:pt>
                <c:pt idx="82">
                  <c:v>43104</c:v>
                </c:pt>
                <c:pt idx="83">
                  <c:v>43103</c:v>
                </c:pt>
                <c:pt idx="84">
                  <c:v>43102</c:v>
                </c:pt>
                <c:pt idx="85">
                  <c:v>43101</c:v>
                </c:pt>
                <c:pt idx="86">
                  <c:v>42747</c:v>
                </c:pt>
                <c:pt idx="87">
                  <c:v>42746</c:v>
                </c:pt>
                <c:pt idx="88">
                  <c:v>42745</c:v>
                </c:pt>
                <c:pt idx="89">
                  <c:v>42744</c:v>
                </c:pt>
                <c:pt idx="90">
                  <c:v>42743</c:v>
                </c:pt>
                <c:pt idx="91">
                  <c:v>42742</c:v>
                </c:pt>
                <c:pt idx="92">
                  <c:v>42741</c:v>
                </c:pt>
                <c:pt idx="93">
                  <c:v>42740</c:v>
                </c:pt>
                <c:pt idx="94">
                  <c:v>42739</c:v>
                </c:pt>
                <c:pt idx="95">
                  <c:v>42738</c:v>
                </c:pt>
                <c:pt idx="96">
                  <c:v>42737</c:v>
                </c:pt>
                <c:pt idx="97">
                  <c:v>42736</c:v>
                </c:pt>
                <c:pt idx="98">
                  <c:v>42381</c:v>
                </c:pt>
                <c:pt idx="99">
                  <c:v>42380</c:v>
                </c:pt>
                <c:pt idx="100">
                  <c:v>42379</c:v>
                </c:pt>
                <c:pt idx="101">
                  <c:v>42378</c:v>
                </c:pt>
                <c:pt idx="102">
                  <c:v>42377</c:v>
                </c:pt>
                <c:pt idx="103">
                  <c:v>42376</c:v>
                </c:pt>
                <c:pt idx="104">
                  <c:v>42375</c:v>
                </c:pt>
                <c:pt idx="105">
                  <c:v>42374</c:v>
                </c:pt>
                <c:pt idx="106">
                  <c:v>42373</c:v>
                </c:pt>
                <c:pt idx="107">
                  <c:v>42372</c:v>
                </c:pt>
                <c:pt idx="108">
                  <c:v>42371</c:v>
                </c:pt>
                <c:pt idx="109">
                  <c:v>42370</c:v>
                </c:pt>
                <c:pt idx="110">
                  <c:v>42016</c:v>
                </c:pt>
                <c:pt idx="111">
                  <c:v>42015</c:v>
                </c:pt>
                <c:pt idx="112">
                  <c:v>42014</c:v>
                </c:pt>
                <c:pt idx="113">
                  <c:v>42013</c:v>
                </c:pt>
                <c:pt idx="114">
                  <c:v>42012</c:v>
                </c:pt>
                <c:pt idx="115">
                  <c:v>42011</c:v>
                </c:pt>
                <c:pt idx="116">
                  <c:v>42010</c:v>
                </c:pt>
                <c:pt idx="117">
                  <c:v>42009</c:v>
                </c:pt>
                <c:pt idx="118">
                  <c:v>42008</c:v>
                </c:pt>
                <c:pt idx="119">
                  <c:v>42007</c:v>
                </c:pt>
              </c:numCache>
            </c:numRef>
          </c:cat>
          <c:val>
            <c:numRef>
              <c:f>'Data. Securities'!$AU$57:$AU$176</c:f>
              <c:numCache>
                <c:formatCode>0.00%</c:formatCode>
                <c:ptCount val="120"/>
                <c:pt idx="0">
                  <c:v>-9.512450057726668E-2</c:v>
                </c:pt>
                <c:pt idx="1">
                  <c:v>-1.5353125552682152E-2</c:v>
                </c:pt>
                <c:pt idx="2">
                  <c:v>5.886314695796506E-2</c:v>
                </c:pt>
                <c:pt idx="3">
                  <c:v>-2.5424899851100115E-2</c:v>
                </c:pt>
                <c:pt idx="4">
                  <c:v>0.11839957938889546</c:v>
                </c:pt>
                <c:pt idx="5">
                  <c:v>9.8013948302698821E-3</c:v>
                </c:pt>
                <c:pt idx="6">
                  <c:v>4.3537974901156226E-2</c:v>
                </c:pt>
                <c:pt idx="7">
                  <c:v>4.1653489095501192E-2</c:v>
                </c:pt>
                <c:pt idx="8">
                  <c:v>-1.497019641895548E-2</c:v>
                </c:pt>
                <c:pt idx="9">
                  <c:v>4.9994780861377638E-2</c:v>
                </c:pt>
                <c:pt idx="10">
                  <c:v>6.4469656032662789E-2</c:v>
                </c:pt>
                <c:pt idx="11">
                  <c:v>-5.1506025429173347E-2</c:v>
                </c:pt>
                <c:pt idx="12">
                  <c:v>5.6843676314512568E-3</c:v>
                </c:pt>
                <c:pt idx="13">
                  <c:v>7.2097199603221612E-2</c:v>
                </c:pt>
                <c:pt idx="14">
                  <c:v>3.1035545765551266E-2</c:v>
                </c:pt>
                <c:pt idx="15">
                  <c:v>7.3455075374843637E-2</c:v>
                </c:pt>
                <c:pt idx="16">
                  <c:v>7.9615623845842351E-2</c:v>
                </c:pt>
                <c:pt idx="17">
                  <c:v>-1.0801568782645625E-2</c:v>
                </c:pt>
                <c:pt idx="18">
                  <c:v>-4.7394886338159657E-2</c:v>
                </c:pt>
                <c:pt idx="19">
                  <c:v>2.7288216691199515E-3</c:v>
                </c:pt>
                <c:pt idx="20">
                  <c:v>3.8455092942082804E-2</c:v>
                </c:pt>
                <c:pt idx="21">
                  <c:v>7.8359473161995888E-2</c:v>
                </c:pt>
                <c:pt idx="22">
                  <c:v>3.3386502811256782E-2</c:v>
                </c:pt>
                <c:pt idx="23">
                  <c:v>4.5607131481604814E-3</c:v>
                </c:pt>
                <c:pt idx="24">
                  <c:v>4.179164051702506E-2</c:v>
                </c:pt>
                <c:pt idx="25">
                  <c:v>-5.191537747309307E-2</c:v>
                </c:pt>
                <c:pt idx="26">
                  <c:v>0.13470169748285588</c:v>
                </c:pt>
                <c:pt idx="27">
                  <c:v>-9.4328743835170703E-2</c:v>
                </c:pt>
                <c:pt idx="28">
                  <c:v>4.3331720351787582E-2</c:v>
                </c:pt>
                <c:pt idx="29">
                  <c:v>5.2338695324838765E-2</c:v>
                </c:pt>
                <c:pt idx="30">
                  <c:v>-6.8637507163309991E-2</c:v>
                </c:pt>
                <c:pt idx="31">
                  <c:v>-3.7159431839652646E-2</c:v>
                </c:pt>
                <c:pt idx="32">
                  <c:v>0.16302132550176249</c:v>
                </c:pt>
                <c:pt idx="33">
                  <c:v>-8.7843752402945272E-2</c:v>
                </c:pt>
                <c:pt idx="34">
                  <c:v>-5.3536939594896721E-2</c:v>
                </c:pt>
                <c:pt idx="35">
                  <c:v>-0.13248313089073613</c:v>
                </c:pt>
                <c:pt idx="36">
                  <c:v>4.7841062273678833E-2</c:v>
                </c:pt>
                <c:pt idx="37">
                  <c:v>-4.3880642424019296E-2</c:v>
                </c:pt>
                <c:pt idx="38">
                  <c:v>-0.10570969191523613</c:v>
                </c:pt>
                <c:pt idx="39">
                  <c:v>1.6868410349929919E-2</c:v>
                </c:pt>
                <c:pt idx="40">
                  <c:v>9.4529831444837859E-3</c:v>
                </c:pt>
                <c:pt idx="41">
                  <c:v>7.8487250860873881E-2</c:v>
                </c:pt>
                <c:pt idx="42">
                  <c:v>-1.4131064033082745E-2</c:v>
                </c:pt>
                <c:pt idx="43">
                  <c:v>4.0708305045656985E-2</c:v>
                </c:pt>
                <c:pt idx="44">
                  <c:v>1.2911515873740309E-2</c:v>
                </c:pt>
                <c:pt idx="45">
                  <c:v>1.8145252948972877E-2</c:v>
                </c:pt>
                <c:pt idx="46">
                  <c:v>-2.6039339741152138E-2</c:v>
                </c:pt>
                <c:pt idx="47">
                  <c:v>5.717951493844016E-2</c:v>
                </c:pt>
                <c:pt idx="48">
                  <c:v>4.3934080913761178E-2</c:v>
                </c:pt>
                <c:pt idx="49">
                  <c:v>-1.8478443528085597E-2</c:v>
                </c:pt>
                <c:pt idx="50">
                  <c:v>-3.672951134031617E-2</c:v>
                </c:pt>
                <c:pt idx="51">
                  <c:v>1.3851814996185522E-2</c:v>
                </c:pt>
                <c:pt idx="52">
                  <c:v>9.2040396943464858E-2</c:v>
                </c:pt>
                <c:pt idx="53">
                  <c:v>-3.0688129251933222E-2</c:v>
                </c:pt>
                <c:pt idx="54">
                  <c:v>-4.2773502224161895E-2</c:v>
                </c:pt>
                <c:pt idx="55">
                  <c:v>9.7147170518225107E-2</c:v>
                </c:pt>
                <c:pt idx="56">
                  <c:v>8.6292016245275951E-2</c:v>
                </c:pt>
                <c:pt idx="57">
                  <c:v>2.8807416605066485E-2</c:v>
                </c:pt>
                <c:pt idx="58">
                  <c:v>3.6754574512575522E-2</c:v>
                </c:pt>
                <c:pt idx="59">
                  <c:v>0.14671410107938229</c:v>
                </c:pt>
                <c:pt idx="60">
                  <c:v>-3.9668269412947467E-2</c:v>
                </c:pt>
                <c:pt idx="61">
                  <c:v>-5.2704036970912041E-2</c:v>
                </c:pt>
                <c:pt idx="62">
                  <c:v>3.1559739481981361E-2</c:v>
                </c:pt>
                <c:pt idx="63">
                  <c:v>1.4615028946481784E-2</c:v>
                </c:pt>
                <c:pt idx="64">
                  <c:v>-4.3124744440560976E-3</c:v>
                </c:pt>
                <c:pt idx="65">
                  <c:v>2.6944189093982746E-2</c:v>
                </c:pt>
                <c:pt idx="66">
                  <c:v>-1.4355506090665255E-2</c:v>
                </c:pt>
                <c:pt idx="67">
                  <c:v>1.122427311334051E-2</c:v>
                </c:pt>
                <c:pt idx="68">
                  <c:v>-5.2984824790861321E-4</c:v>
                </c:pt>
                <c:pt idx="69">
                  <c:v>9.0534448398491479E-2</c:v>
                </c:pt>
                <c:pt idx="70">
                  <c:v>-6.499564355250867E-2</c:v>
                </c:pt>
                <c:pt idx="71">
                  <c:v>4.4814235451415739E-2</c:v>
                </c:pt>
                <c:pt idx="72">
                  <c:v>4.3902834378043362E-2</c:v>
                </c:pt>
                <c:pt idx="73">
                  <c:v>-5.7586792250844373E-3</c:v>
                </c:pt>
                <c:pt idx="74">
                  <c:v>8.9711704240164614E-2</c:v>
                </c:pt>
                <c:pt idx="75">
                  <c:v>-8.6908458167799962E-2</c:v>
                </c:pt>
                <c:pt idx="76">
                  <c:v>1.1803310806318312E-2</c:v>
                </c:pt>
                <c:pt idx="77">
                  <c:v>-9.0705250066527868E-2</c:v>
                </c:pt>
                <c:pt idx="78">
                  <c:v>1.8662932355288523E-3</c:v>
                </c:pt>
                <c:pt idx="79">
                  <c:v>5.8076314693151998E-2</c:v>
                </c:pt>
                <c:pt idx="80">
                  <c:v>9.0852792256078396E-3</c:v>
                </c:pt>
                <c:pt idx="81">
                  <c:v>3.9090146231810771E-2</c:v>
                </c:pt>
                <c:pt idx="82">
                  <c:v>7.0528187424742754E-3</c:v>
                </c:pt>
                <c:pt idx="83">
                  <c:v>4.3679745489991262E-2</c:v>
                </c:pt>
                <c:pt idx="84">
                  <c:v>-2.1535862915873425E-2</c:v>
                </c:pt>
                <c:pt idx="85">
                  <c:v>-2.0187342414720491E-2</c:v>
                </c:pt>
                <c:pt idx="86">
                  <c:v>0.13712968080147325</c:v>
                </c:pt>
                <c:pt idx="87">
                  <c:v>1.0513046766422651E-2</c:v>
                </c:pt>
                <c:pt idx="88">
                  <c:v>5.5633781376479542E-2</c:v>
                </c:pt>
                <c:pt idx="89">
                  <c:v>5.7562683187197067E-2</c:v>
                </c:pt>
                <c:pt idx="90">
                  <c:v>1.906325008531249E-2</c:v>
                </c:pt>
                <c:pt idx="91">
                  <c:v>-2.239868687634209E-2</c:v>
                </c:pt>
                <c:pt idx="92">
                  <c:v>3.1044149697767042E-2</c:v>
                </c:pt>
                <c:pt idx="93">
                  <c:v>-4.7793139500918284E-2</c:v>
                </c:pt>
                <c:pt idx="94">
                  <c:v>4.0875684782251474E-2</c:v>
                </c:pt>
                <c:pt idx="95">
                  <c:v>4.5767699380601705E-2</c:v>
                </c:pt>
                <c:pt idx="96">
                  <c:v>1.1383155682728798E-2</c:v>
                </c:pt>
                <c:pt idx="97">
                  <c:v>4.964133971005906E-2</c:v>
                </c:pt>
                <c:pt idx="98">
                  <c:v>4.9651248680171067E-2</c:v>
                </c:pt>
                <c:pt idx="99">
                  <c:v>1.8683221495845816E-2</c:v>
                </c:pt>
                <c:pt idx="100">
                  <c:v>-3.635861169472716E-3</c:v>
                </c:pt>
                <c:pt idx="101">
                  <c:v>-9.3359389711945746E-3</c:v>
                </c:pt>
                <c:pt idx="102">
                  <c:v>2.6564987166239982E-3</c:v>
                </c:pt>
                <c:pt idx="103">
                  <c:v>-4.7263563739616994E-3</c:v>
                </c:pt>
                <c:pt idx="104">
                  <c:v>4.9665229967997805E-2</c:v>
                </c:pt>
                <c:pt idx="105">
                  <c:v>-8.04063514148394E-3</c:v>
                </c:pt>
                <c:pt idx="106">
                  <c:v>2.9560055471930632E-2</c:v>
                </c:pt>
                <c:pt idx="107">
                  <c:v>-8.4594688821890054E-4</c:v>
                </c:pt>
                <c:pt idx="108">
                  <c:v>5.7174731525452355E-2</c:v>
                </c:pt>
                <c:pt idx="109">
                  <c:v>3.1418645963119216E-3</c:v>
                </c:pt>
                <c:pt idx="110">
                  <c:v>-8.7313783338913736E-2</c:v>
                </c:pt>
                <c:pt idx="111">
                  <c:v>-3.9726523230829407E-4</c:v>
                </c:pt>
                <c:pt idx="112">
                  <c:v>3.1515432591786179E-2</c:v>
                </c:pt>
                <c:pt idx="113">
                  <c:v>8.6754680295807796E-2</c:v>
                </c:pt>
                <c:pt idx="114">
                  <c:v>-9.1569433306718778E-3</c:v>
                </c:pt>
                <c:pt idx="115">
                  <c:v>-3.6653049067025691E-2</c:v>
                </c:pt>
                <c:pt idx="116">
                  <c:v>0.10915269379572219</c:v>
                </c:pt>
                <c:pt idx="117">
                  <c:v>-1.3587392195492145E-2</c:v>
                </c:pt>
                <c:pt idx="118">
                  <c:v>9.1194586951018983E-3</c:v>
                </c:pt>
                <c:pt idx="119">
                  <c:v>4.4229395241387484E-2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6-F24A-A5CE-37C390A6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240191"/>
        <c:axId val="1219062463"/>
      </c:lineChart>
      <c:catAx>
        <c:axId val="1268240191"/>
        <c:scaling>
          <c:orientation val="maxMin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19062463"/>
        <c:crosses val="autoZero"/>
        <c:auto val="0"/>
        <c:lblAlgn val="ctr"/>
        <c:lblOffset val="100"/>
        <c:noMultiLvlLbl val="0"/>
      </c:catAx>
      <c:valAx>
        <c:axId val="12190624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6824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Hypothetical Growth of the Prices</a:t>
            </a:r>
            <a:b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120 months Back Data Tracking (2015 -2025)</a:t>
            </a:r>
            <a:endPara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IYC Benchmark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Securities'!$B$56:$B$176</c:f>
              <c:numCache>
                <c:formatCode>m/d/yy</c:formatCode>
                <c:ptCount val="121"/>
                <c:pt idx="0">
                  <c:v>45660</c:v>
                </c:pt>
                <c:pt idx="1">
                  <c:v>45659</c:v>
                </c:pt>
                <c:pt idx="2">
                  <c:v>45658</c:v>
                </c:pt>
                <c:pt idx="3">
                  <c:v>45303</c:v>
                </c:pt>
                <c:pt idx="4">
                  <c:v>45302</c:v>
                </c:pt>
                <c:pt idx="5">
                  <c:v>45301</c:v>
                </c:pt>
                <c:pt idx="6">
                  <c:v>45300</c:v>
                </c:pt>
                <c:pt idx="7">
                  <c:v>45299</c:v>
                </c:pt>
                <c:pt idx="8">
                  <c:v>45298</c:v>
                </c:pt>
                <c:pt idx="9">
                  <c:v>45297</c:v>
                </c:pt>
                <c:pt idx="10">
                  <c:v>45296</c:v>
                </c:pt>
                <c:pt idx="11">
                  <c:v>45295</c:v>
                </c:pt>
                <c:pt idx="12">
                  <c:v>45294</c:v>
                </c:pt>
                <c:pt idx="13">
                  <c:v>45293</c:v>
                </c:pt>
                <c:pt idx="14">
                  <c:v>45292</c:v>
                </c:pt>
                <c:pt idx="15">
                  <c:v>44938</c:v>
                </c:pt>
                <c:pt idx="16">
                  <c:v>44937</c:v>
                </c:pt>
                <c:pt idx="17">
                  <c:v>44936</c:v>
                </c:pt>
                <c:pt idx="18">
                  <c:v>44935</c:v>
                </c:pt>
                <c:pt idx="19">
                  <c:v>44934</c:v>
                </c:pt>
                <c:pt idx="20">
                  <c:v>44933</c:v>
                </c:pt>
                <c:pt idx="21">
                  <c:v>44932</c:v>
                </c:pt>
                <c:pt idx="22">
                  <c:v>44931</c:v>
                </c:pt>
                <c:pt idx="23">
                  <c:v>44930</c:v>
                </c:pt>
                <c:pt idx="24">
                  <c:v>44929</c:v>
                </c:pt>
                <c:pt idx="25">
                  <c:v>44928</c:v>
                </c:pt>
                <c:pt idx="26">
                  <c:v>44927</c:v>
                </c:pt>
                <c:pt idx="27">
                  <c:v>44573</c:v>
                </c:pt>
                <c:pt idx="28">
                  <c:v>44572</c:v>
                </c:pt>
                <c:pt idx="29">
                  <c:v>44571</c:v>
                </c:pt>
                <c:pt idx="30">
                  <c:v>44570</c:v>
                </c:pt>
                <c:pt idx="31">
                  <c:v>44569</c:v>
                </c:pt>
                <c:pt idx="32">
                  <c:v>44568</c:v>
                </c:pt>
                <c:pt idx="33">
                  <c:v>44567</c:v>
                </c:pt>
                <c:pt idx="34">
                  <c:v>44566</c:v>
                </c:pt>
                <c:pt idx="35">
                  <c:v>44565</c:v>
                </c:pt>
                <c:pt idx="36">
                  <c:v>44564</c:v>
                </c:pt>
                <c:pt idx="37">
                  <c:v>44563</c:v>
                </c:pt>
                <c:pt idx="38">
                  <c:v>44562</c:v>
                </c:pt>
                <c:pt idx="39">
                  <c:v>44208</c:v>
                </c:pt>
                <c:pt idx="40">
                  <c:v>44207</c:v>
                </c:pt>
                <c:pt idx="41">
                  <c:v>44206</c:v>
                </c:pt>
                <c:pt idx="42">
                  <c:v>44205</c:v>
                </c:pt>
                <c:pt idx="43">
                  <c:v>44204</c:v>
                </c:pt>
                <c:pt idx="44">
                  <c:v>44203</c:v>
                </c:pt>
                <c:pt idx="45">
                  <c:v>44202</c:v>
                </c:pt>
                <c:pt idx="46">
                  <c:v>44201</c:v>
                </c:pt>
                <c:pt idx="47">
                  <c:v>44200</c:v>
                </c:pt>
                <c:pt idx="48">
                  <c:v>44199</c:v>
                </c:pt>
                <c:pt idx="49">
                  <c:v>44198</c:v>
                </c:pt>
                <c:pt idx="50">
                  <c:v>44197</c:v>
                </c:pt>
                <c:pt idx="51">
                  <c:v>43842</c:v>
                </c:pt>
                <c:pt idx="52">
                  <c:v>43841</c:v>
                </c:pt>
                <c:pt idx="53">
                  <c:v>43840</c:v>
                </c:pt>
                <c:pt idx="54">
                  <c:v>43839</c:v>
                </c:pt>
                <c:pt idx="55">
                  <c:v>43838</c:v>
                </c:pt>
                <c:pt idx="56">
                  <c:v>43837</c:v>
                </c:pt>
                <c:pt idx="57">
                  <c:v>43836</c:v>
                </c:pt>
                <c:pt idx="58">
                  <c:v>43835</c:v>
                </c:pt>
                <c:pt idx="59">
                  <c:v>43834</c:v>
                </c:pt>
                <c:pt idx="60">
                  <c:v>43833</c:v>
                </c:pt>
                <c:pt idx="61">
                  <c:v>43832</c:v>
                </c:pt>
                <c:pt idx="62">
                  <c:v>43831</c:v>
                </c:pt>
                <c:pt idx="63">
                  <c:v>43477</c:v>
                </c:pt>
                <c:pt idx="64">
                  <c:v>43476</c:v>
                </c:pt>
                <c:pt idx="65">
                  <c:v>43475</c:v>
                </c:pt>
                <c:pt idx="66">
                  <c:v>43474</c:v>
                </c:pt>
                <c:pt idx="67">
                  <c:v>43473</c:v>
                </c:pt>
                <c:pt idx="68">
                  <c:v>43472</c:v>
                </c:pt>
                <c:pt idx="69">
                  <c:v>43471</c:v>
                </c:pt>
                <c:pt idx="70">
                  <c:v>43470</c:v>
                </c:pt>
                <c:pt idx="71">
                  <c:v>43469</c:v>
                </c:pt>
                <c:pt idx="72">
                  <c:v>43468</c:v>
                </c:pt>
                <c:pt idx="73">
                  <c:v>43467</c:v>
                </c:pt>
                <c:pt idx="74">
                  <c:v>43466</c:v>
                </c:pt>
                <c:pt idx="75">
                  <c:v>43112</c:v>
                </c:pt>
                <c:pt idx="76">
                  <c:v>43111</c:v>
                </c:pt>
                <c:pt idx="77">
                  <c:v>43110</c:v>
                </c:pt>
                <c:pt idx="78">
                  <c:v>43109</c:v>
                </c:pt>
                <c:pt idx="79">
                  <c:v>43108</c:v>
                </c:pt>
                <c:pt idx="80">
                  <c:v>43107</c:v>
                </c:pt>
                <c:pt idx="81">
                  <c:v>43106</c:v>
                </c:pt>
                <c:pt idx="82">
                  <c:v>43105</c:v>
                </c:pt>
                <c:pt idx="83">
                  <c:v>43104</c:v>
                </c:pt>
                <c:pt idx="84">
                  <c:v>43103</c:v>
                </c:pt>
                <c:pt idx="85">
                  <c:v>43102</c:v>
                </c:pt>
                <c:pt idx="86">
                  <c:v>43101</c:v>
                </c:pt>
                <c:pt idx="87">
                  <c:v>42747</c:v>
                </c:pt>
                <c:pt idx="88">
                  <c:v>42746</c:v>
                </c:pt>
                <c:pt idx="89">
                  <c:v>42745</c:v>
                </c:pt>
                <c:pt idx="90">
                  <c:v>42744</c:v>
                </c:pt>
                <c:pt idx="91">
                  <c:v>42743</c:v>
                </c:pt>
                <c:pt idx="92">
                  <c:v>42742</c:v>
                </c:pt>
                <c:pt idx="93">
                  <c:v>42741</c:v>
                </c:pt>
                <c:pt idx="94">
                  <c:v>42740</c:v>
                </c:pt>
                <c:pt idx="95">
                  <c:v>42739</c:v>
                </c:pt>
                <c:pt idx="96">
                  <c:v>42738</c:v>
                </c:pt>
                <c:pt idx="97">
                  <c:v>42737</c:v>
                </c:pt>
                <c:pt idx="98">
                  <c:v>42736</c:v>
                </c:pt>
                <c:pt idx="99">
                  <c:v>42381</c:v>
                </c:pt>
                <c:pt idx="100">
                  <c:v>42380</c:v>
                </c:pt>
                <c:pt idx="101">
                  <c:v>42379</c:v>
                </c:pt>
                <c:pt idx="102">
                  <c:v>42378</c:v>
                </c:pt>
                <c:pt idx="103">
                  <c:v>42377</c:v>
                </c:pt>
                <c:pt idx="104">
                  <c:v>42376</c:v>
                </c:pt>
                <c:pt idx="105">
                  <c:v>42375</c:v>
                </c:pt>
                <c:pt idx="106">
                  <c:v>42374</c:v>
                </c:pt>
                <c:pt idx="107">
                  <c:v>42373</c:v>
                </c:pt>
                <c:pt idx="108">
                  <c:v>42372</c:v>
                </c:pt>
                <c:pt idx="109">
                  <c:v>42371</c:v>
                </c:pt>
                <c:pt idx="110">
                  <c:v>42370</c:v>
                </c:pt>
                <c:pt idx="111">
                  <c:v>42016</c:v>
                </c:pt>
                <c:pt idx="112">
                  <c:v>42015</c:v>
                </c:pt>
                <c:pt idx="113">
                  <c:v>42014</c:v>
                </c:pt>
                <c:pt idx="114">
                  <c:v>42013</c:v>
                </c:pt>
                <c:pt idx="115">
                  <c:v>42012</c:v>
                </c:pt>
                <c:pt idx="116">
                  <c:v>42011</c:v>
                </c:pt>
                <c:pt idx="117">
                  <c:v>42010</c:v>
                </c:pt>
                <c:pt idx="118">
                  <c:v>42009</c:v>
                </c:pt>
                <c:pt idx="119">
                  <c:v>42008</c:v>
                </c:pt>
                <c:pt idx="120">
                  <c:v>42007</c:v>
                </c:pt>
              </c:numCache>
            </c:numRef>
          </c:cat>
          <c:val>
            <c:numRef>
              <c:f>'Data. Securities'!$C$56:$C$176</c:f>
              <c:numCache>
                <c:formatCode>General</c:formatCode>
                <c:ptCount val="121"/>
                <c:pt idx="0">
                  <c:v>88.32</c:v>
                </c:pt>
                <c:pt idx="1">
                  <c:v>96.38</c:v>
                </c:pt>
                <c:pt idx="2">
                  <c:v>100.57</c:v>
                </c:pt>
                <c:pt idx="3">
                  <c:v>96.14</c:v>
                </c:pt>
                <c:pt idx="4">
                  <c:v>97.69</c:v>
                </c:pt>
                <c:pt idx="5">
                  <c:v>87.23</c:v>
                </c:pt>
                <c:pt idx="6">
                  <c:v>87.94</c:v>
                </c:pt>
                <c:pt idx="7">
                  <c:v>83.71</c:v>
                </c:pt>
                <c:pt idx="8">
                  <c:v>82.13</c:v>
                </c:pt>
                <c:pt idx="9">
                  <c:v>81.28</c:v>
                </c:pt>
                <c:pt idx="10">
                  <c:v>79.290000000000006</c:v>
                </c:pt>
                <c:pt idx="11">
                  <c:v>77.709999999999994</c:v>
                </c:pt>
                <c:pt idx="12">
                  <c:v>81.97</c:v>
                </c:pt>
                <c:pt idx="13">
                  <c:v>80.91</c:v>
                </c:pt>
                <c:pt idx="14">
                  <c:v>74.790000000000006</c:v>
                </c:pt>
                <c:pt idx="15">
                  <c:v>75.77</c:v>
                </c:pt>
                <c:pt idx="16">
                  <c:v>71.27</c:v>
                </c:pt>
                <c:pt idx="17">
                  <c:v>64.63</c:v>
                </c:pt>
                <c:pt idx="18">
                  <c:v>66.95</c:v>
                </c:pt>
                <c:pt idx="19">
                  <c:v>70.959999999999994</c:v>
                </c:pt>
                <c:pt idx="20">
                  <c:v>73.040000000000006</c:v>
                </c:pt>
                <c:pt idx="21">
                  <c:v>71.17</c:v>
                </c:pt>
                <c:pt idx="22">
                  <c:v>64.56</c:v>
                </c:pt>
                <c:pt idx="23">
                  <c:v>64.400000000000006</c:v>
                </c:pt>
                <c:pt idx="24">
                  <c:v>64.69</c:v>
                </c:pt>
                <c:pt idx="25">
                  <c:v>63.31</c:v>
                </c:pt>
                <c:pt idx="26">
                  <c:v>65.040000000000006</c:v>
                </c:pt>
                <c:pt idx="27">
                  <c:v>56.96</c:v>
                </c:pt>
                <c:pt idx="28">
                  <c:v>63.26</c:v>
                </c:pt>
                <c:pt idx="29">
                  <c:v>61.3</c:v>
                </c:pt>
                <c:pt idx="30">
                  <c:v>58.2</c:v>
                </c:pt>
                <c:pt idx="31">
                  <c:v>63.63</c:v>
                </c:pt>
                <c:pt idx="32">
                  <c:v>65.510000000000005</c:v>
                </c:pt>
                <c:pt idx="33">
                  <c:v>56.74</c:v>
                </c:pt>
                <c:pt idx="34">
                  <c:v>63.6</c:v>
                </c:pt>
                <c:pt idx="35">
                  <c:v>66.66</c:v>
                </c:pt>
                <c:pt idx="36">
                  <c:v>75.040000000000006</c:v>
                </c:pt>
                <c:pt idx="37">
                  <c:v>73.569999999999993</c:v>
                </c:pt>
                <c:pt idx="38">
                  <c:v>75.86</c:v>
                </c:pt>
                <c:pt idx="39">
                  <c:v>84</c:v>
                </c:pt>
                <c:pt idx="40">
                  <c:v>82.91</c:v>
                </c:pt>
                <c:pt idx="41">
                  <c:v>83.91</c:v>
                </c:pt>
                <c:pt idx="42">
                  <c:v>77.31</c:v>
                </c:pt>
                <c:pt idx="43">
                  <c:v>79.709999999999994</c:v>
                </c:pt>
                <c:pt idx="44">
                  <c:v>78.11</c:v>
                </c:pt>
                <c:pt idx="45">
                  <c:v>77.61</c:v>
                </c:pt>
                <c:pt idx="46">
                  <c:v>76.69</c:v>
                </c:pt>
                <c:pt idx="47">
                  <c:v>78</c:v>
                </c:pt>
                <c:pt idx="48">
                  <c:v>74.83</c:v>
                </c:pt>
                <c:pt idx="49">
                  <c:v>72.260000000000005</c:v>
                </c:pt>
                <c:pt idx="50">
                  <c:v>68.94</c:v>
                </c:pt>
                <c:pt idx="51">
                  <c:v>70.5</c:v>
                </c:pt>
                <c:pt idx="52">
                  <c:v>68.38</c:v>
                </c:pt>
                <c:pt idx="53">
                  <c:v>60.62</c:v>
                </c:pt>
                <c:pt idx="54">
                  <c:v>62.5</c:v>
                </c:pt>
                <c:pt idx="55">
                  <c:v>63.65</c:v>
                </c:pt>
                <c:pt idx="56">
                  <c:v>58.49</c:v>
                </c:pt>
                <c:pt idx="57">
                  <c:v>54.76</c:v>
                </c:pt>
                <c:pt idx="58">
                  <c:v>54.44</c:v>
                </c:pt>
                <c:pt idx="59">
                  <c:v>51.19</c:v>
                </c:pt>
                <c:pt idx="60">
                  <c:v>44.29</c:v>
                </c:pt>
                <c:pt idx="61">
                  <c:v>52.1</c:v>
                </c:pt>
                <c:pt idx="62">
                  <c:v>56.6</c:v>
                </c:pt>
                <c:pt idx="63">
                  <c:v>57.06</c:v>
                </c:pt>
                <c:pt idx="64">
                  <c:v>56.39</c:v>
                </c:pt>
                <c:pt idx="65">
                  <c:v>54.96</c:v>
                </c:pt>
                <c:pt idx="66">
                  <c:v>54.35</c:v>
                </c:pt>
                <c:pt idx="67">
                  <c:v>54.65</c:v>
                </c:pt>
                <c:pt idx="68">
                  <c:v>54.98</c:v>
                </c:pt>
                <c:pt idx="69">
                  <c:v>54.43</c:v>
                </c:pt>
                <c:pt idx="70">
                  <c:v>51.03</c:v>
                </c:pt>
                <c:pt idx="71">
                  <c:v>54.32</c:v>
                </c:pt>
                <c:pt idx="72">
                  <c:v>51.08</c:v>
                </c:pt>
                <c:pt idx="73">
                  <c:v>50</c:v>
                </c:pt>
                <c:pt idx="74">
                  <c:v>49.29</c:v>
                </c:pt>
                <c:pt idx="75">
                  <c:v>45.22</c:v>
                </c:pt>
                <c:pt idx="76">
                  <c:v>49.85</c:v>
                </c:pt>
                <c:pt idx="77">
                  <c:v>48.65</c:v>
                </c:pt>
                <c:pt idx="78">
                  <c:v>52.94</c:v>
                </c:pt>
                <c:pt idx="79">
                  <c:v>52.52</c:v>
                </c:pt>
                <c:pt idx="80">
                  <c:v>49.59</c:v>
                </c:pt>
                <c:pt idx="81">
                  <c:v>48.44</c:v>
                </c:pt>
                <c:pt idx="82">
                  <c:v>46.94</c:v>
                </c:pt>
                <c:pt idx="83">
                  <c:v>46.36</c:v>
                </c:pt>
                <c:pt idx="84">
                  <c:v>45.58</c:v>
                </c:pt>
                <c:pt idx="85">
                  <c:v>46.87</c:v>
                </c:pt>
                <c:pt idx="86">
                  <c:v>48.85</c:v>
                </c:pt>
                <c:pt idx="87">
                  <c:v>44.81</c:v>
                </c:pt>
                <c:pt idx="88">
                  <c:v>43.82</c:v>
                </c:pt>
                <c:pt idx="89">
                  <c:v>41.28</c:v>
                </c:pt>
                <c:pt idx="90">
                  <c:v>41.01</c:v>
                </c:pt>
                <c:pt idx="91">
                  <c:v>40.86</c:v>
                </c:pt>
                <c:pt idx="92">
                  <c:v>41.74</c:v>
                </c:pt>
                <c:pt idx="93">
                  <c:v>41.03</c:v>
                </c:pt>
                <c:pt idx="94">
                  <c:v>41.88</c:v>
                </c:pt>
                <c:pt idx="95">
                  <c:v>41.31</c:v>
                </c:pt>
                <c:pt idx="96">
                  <c:v>40.229999999999997</c:v>
                </c:pt>
                <c:pt idx="97">
                  <c:v>39.799999999999997</c:v>
                </c:pt>
                <c:pt idx="98">
                  <c:v>38.9</c:v>
                </c:pt>
                <c:pt idx="99">
                  <c:v>37.76</c:v>
                </c:pt>
                <c:pt idx="100">
                  <c:v>37.79</c:v>
                </c:pt>
                <c:pt idx="101">
                  <c:v>35.93</c:v>
                </c:pt>
                <c:pt idx="102">
                  <c:v>36.78</c:v>
                </c:pt>
                <c:pt idx="103">
                  <c:v>36.85</c:v>
                </c:pt>
                <c:pt idx="104">
                  <c:v>37.33</c:v>
                </c:pt>
                <c:pt idx="105">
                  <c:v>35.86</c:v>
                </c:pt>
                <c:pt idx="106">
                  <c:v>36.21</c:v>
                </c:pt>
                <c:pt idx="107">
                  <c:v>36.08</c:v>
                </c:pt>
                <c:pt idx="108">
                  <c:v>36.450000000000003</c:v>
                </c:pt>
                <c:pt idx="109">
                  <c:v>34.54</c:v>
                </c:pt>
                <c:pt idx="110">
                  <c:v>34.24</c:v>
                </c:pt>
                <c:pt idx="111">
                  <c:v>36.159999999999997</c:v>
                </c:pt>
                <c:pt idx="112">
                  <c:v>36.630000000000003</c:v>
                </c:pt>
                <c:pt idx="113">
                  <c:v>36.97</c:v>
                </c:pt>
                <c:pt idx="114">
                  <c:v>34.4</c:v>
                </c:pt>
                <c:pt idx="115">
                  <c:v>35.01</c:v>
                </c:pt>
                <c:pt idx="116">
                  <c:v>37.6</c:v>
                </c:pt>
                <c:pt idx="117">
                  <c:v>35.78</c:v>
                </c:pt>
                <c:pt idx="118">
                  <c:v>36.049999999999997</c:v>
                </c:pt>
                <c:pt idx="119">
                  <c:v>35.67</c:v>
                </c:pt>
                <c:pt idx="120">
                  <c:v>36.049999999999997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C-C94F-BCFB-6F686D2179C0}"/>
            </c:ext>
          </c:extLst>
        </c:ser>
        <c:ser>
          <c:idx val="1"/>
          <c:order val="1"/>
          <c:tx>
            <c:v>Active PF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Securities'!$B$56:$B$176</c:f>
              <c:numCache>
                <c:formatCode>m/d/yy</c:formatCode>
                <c:ptCount val="121"/>
                <c:pt idx="0">
                  <c:v>45660</c:v>
                </c:pt>
                <c:pt idx="1">
                  <c:v>45659</c:v>
                </c:pt>
                <c:pt idx="2">
                  <c:v>45658</c:v>
                </c:pt>
                <c:pt idx="3">
                  <c:v>45303</c:v>
                </c:pt>
                <c:pt idx="4">
                  <c:v>45302</c:v>
                </c:pt>
                <c:pt idx="5">
                  <c:v>45301</c:v>
                </c:pt>
                <c:pt idx="6">
                  <c:v>45300</c:v>
                </c:pt>
                <c:pt idx="7">
                  <c:v>45299</c:v>
                </c:pt>
                <c:pt idx="8">
                  <c:v>45298</c:v>
                </c:pt>
                <c:pt idx="9">
                  <c:v>45297</c:v>
                </c:pt>
                <c:pt idx="10">
                  <c:v>45296</c:v>
                </c:pt>
                <c:pt idx="11">
                  <c:v>45295</c:v>
                </c:pt>
                <c:pt idx="12">
                  <c:v>45294</c:v>
                </c:pt>
                <c:pt idx="13">
                  <c:v>45293</c:v>
                </c:pt>
                <c:pt idx="14">
                  <c:v>45292</c:v>
                </c:pt>
                <c:pt idx="15">
                  <c:v>44938</c:v>
                </c:pt>
                <c:pt idx="16">
                  <c:v>44937</c:v>
                </c:pt>
                <c:pt idx="17">
                  <c:v>44936</c:v>
                </c:pt>
                <c:pt idx="18">
                  <c:v>44935</c:v>
                </c:pt>
                <c:pt idx="19">
                  <c:v>44934</c:v>
                </c:pt>
                <c:pt idx="20">
                  <c:v>44933</c:v>
                </c:pt>
                <c:pt idx="21">
                  <c:v>44932</c:v>
                </c:pt>
                <c:pt idx="22">
                  <c:v>44931</c:v>
                </c:pt>
                <c:pt idx="23">
                  <c:v>44930</c:v>
                </c:pt>
                <c:pt idx="24">
                  <c:v>44929</c:v>
                </c:pt>
                <c:pt idx="25">
                  <c:v>44928</c:v>
                </c:pt>
                <c:pt idx="26">
                  <c:v>44927</c:v>
                </c:pt>
                <c:pt idx="27">
                  <c:v>44573</c:v>
                </c:pt>
                <c:pt idx="28">
                  <c:v>44572</c:v>
                </c:pt>
                <c:pt idx="29">
                  <c:v>44571</c:v>
                </c:pt>
                <c:pt idx="30">
                  <c:v>44570</c:v>
                </c:pt>
                <c:pt idx="31">
                  <c:v>44569</c:v>
                </c:pt>
                <c:pt idx="32">
                  <c:v>44568</c:v>
                </c:pt>
                <c:pt idx="33">
                  <c:v>44567</c:v>
                </c:pt>
                <c:pt idx="34">
                  <c:v>44566</c:v>
                </c:pt>
                <c:pt idx="35">
                  <c:v>44565</c:v>
                </c:pt>
                <c:pt idx="36">
                  <c:v>44564</c:v>
                </c:pt>
                <c:pt idx="37">
                  <c:v>44563</c:v>
                </c:pt>
                <c:pt idx="38">
                  <c:v>44562</c:v>
                </c:pt>
                <c:pt idx="39">
                  <c:v>44208</c:v>
                </c:pt>
                <c:pt idx="40">
                  <c:v>44207</c:v>
                </c:pt>
                <c:pt idx="41">
                  <c:v>44206</c:v>
                </c:pt>
                <c:pt idx="42">
                  <c:v>44205</c:v>
                </c:pt>
                <c:pt idx="43">
                  <c:v>44204</c:v>
                </c:pt>
                <c:pt idx="44">
                  <c:v>44203</c:v>
                </c:pt>
                <c:pt idx="45">
                  <c:v>44202</c:v>
                </c:pt>
                <c:pt idx="46">
                  <c:v>44201</c:v>
                </c:pt>
                <c:pt idx="47">
                  <c:v>44200</c:v>
                </c:pt>
                <c:pt idx="48">
                  <c:v>44199</c:v>
                </c:pt>
                <c:pt idx="49">
                  <c:v>44198</c:v>
                </c:pt>
                <c:pt idx="50">
                  <c:v>44197</c:v>
                </c:pt>
                <c:pt idx="51">
                  <c:v>43842</c:v>
                </c:pt>
                <c:pt idx="52">
                  <c:v>43841</c:v>
                </c:pt>
                <c:pt idx="53">
                  <c:v>43840</c:v>
                </c:pt>
                <c:pt idx="54">
                  <c:v>43839</c:v>
                </c:pt>
                <c:pt idx="55">
                  <c:v>43838</c:v>
                </c:pt>
                <c:pt idx="56">
                  <c:v>43837</c:v>
                </c:pt>
                <c:pt idx="57">
                  <c:v>43836</c:v>
                </c:pt>
                <c:pt idx="58">
                  <c:v>43835</c:v>
                </c:pt>
                <c:pt idx="59">
                  <c:v>43834</c:v>
                </c:pt>
                <c:pt idx="60">
                  <c:v>43833</c:v>
                </c:pt>
                <c:pt idx="61">
                  <c:v>43832</c:v>
                </c:pt>
                <c:pt idx="62">
                  <c:v>43831</c:v>
                </c:pt>
                <c:pt idx="63">
                  <c:v>43477</c:v>
                </c:pt>
                <c:pt idx="64">
                  <c:v>43476</c:v>
                </c:pt>
                <c:pt idx="65">
                  <c:v>43475</c:v>
                </c:pt>
                <c:pt idx="66">
                  <c:v>43474</c:v>
                </c:pt>
                <c:pt idx="67">
                  <c:v>43473</c:v>
                </c:pt>
                <c:pt idx="68">
                  <c:v>43472</c:v>
                </c:pt>
                <c:pt idx="69">
                  <c:v>43471</c:v>
                </c:pt>
                <c:pt idx="70">
                  <c:v>43470</c:v>
                </c:pt>
                <c:pt idx="71">
                  <c:v>43469</c:v>
                </c:pt>
                <c:pt idx="72">
                  <c:v>43468</c:v>
                </c:pt>
                <c:pt idx="73">
                  <c:v>43467</c:v>
                </c:pt>
                <c:pt idx="74">
                  <c:v>43466</c:v>
                </c:pt>
                <c:pt idx="75">
                  <c:v>43112</c:v>
                </c:pt>
                <c:pt idx="76">
                  <c:v>43111</c:v>
                </c:pt>
                <c:pt idx="77">
                  <c:v>43110</c:v>
                </c:pt>
                <c:pt idx="78">
                  <c:v>43109</c:v>
                </c:pt>
                <c:pt idx="79">
                  <c:v>43108</c:v>
                </c:pt>
                <c:pt idx="80">
                  <c:v>43107</c:v>
                </c:pt>
                <c:pt idx="81">
                  <c:v>43106</c:v>
                </c:pt>
                <c:pt idx="82">
                  <c:v>43105</c:v>
                </c:pt>
                <c:pt idx="83">
                  <c:v>43104</c:v>
                </c:pt>
                <c:pt idx="84">
                  <c:v>43103</c:v>
                </c:pt>
                <c:pt idx="85">
                  <c:v>43102</c:v>
                </c:pt>
                <c:pt idx="86">
                  <c:v>43101</c:v>
                </c:pt>
                <c:pt idx="87">
                  <c:v>42747</c:v>
                </c:pt>
                <c:pt idx="88">
                  <c:v>42746</c:v>
                </c:pt>
                <c:pt idx="89">
                  <c:v>42745</c:v>
                </c:pt>
                <c:pt idx="90">
                  <c:v>42744</c:v>
                </c:pt>
                <c:pt idx="91">
                  <c:v>42743</c:v>
                </c:pt>
                <c:pt idx="92">
                  <c:v>42742</c:v>
                </c:pt>
                <c:pt idx="93">
                  <c:v>42741</c:v>
                </c:pt>
                <c:pt idx="94">
                  <c:v>42740</c:v>
                </c:pt>
                <c:pt idx="95">
                  <c:v>42739</c:v>
                </c:pt>
                <c:pt idx="96">
                  <c:v>42738</c:v>
                </c:pt>
                <c:pt idx="97">
                  <c:v>42737</c:v>
                </c:pt>
                <c:pt idx="98">
                  <c:v>42736</c:v>
                </c:pt>
                <c:pt idx="99">
                  <c:v>42381</c:v>
                </c:pt>
                <c:pt idx="100">
                  <c:v>42380</c:v>
                </c:pt>
                <c:pt idx="101">
                  <c:v>42379</c:v>
                </c:pt>
                <c:pt idx="102">
                  <c:v>42378</c:v>
                </c:pt>
                <c:pt idx="103">
                  <c:v>42377</c:v>
                </c:pt>
                <c:pt idx="104">
                  <c:v>42376</c:v>
                </c:pt>
                <c:pt idx="105">
                  <c:v>42375</c:v>
                </c:pt>
                <c:pt idx="106">
                  <c:v>42374</c:v>
                </c:pt>
                <c:pt idx="107">
                  <c:v>42373</c:v>
                </c:pt>
                <c:pt idx="108">
                  <c:v>42372</c:v>
                </c:pt>
                <c:pt idx="109">
                  <c:v>42371</c:v>
                </c:pt>
                <c:pt idx="110">
                  <c:v>42370</c:v>
                </c:pt>
                <c:pt idx="111">
                  <c:v>42016</c:v>
                </c:pt>
                <c:pt idx="112">
                  <c:v>42015</c:v>
                </c:pt>
                <c:pt idx="113">
                  <c:v>42014</c:v>
                </c:pt>
                <c:pt idx="114">
                  <c:v>42013</c:v>
                </c:pt>
                <c:pt idx="115">
                  <c:v>42012</c:v>
                </c:pt>
                <c:pt idx="116">
                  <c:v>42011</c:v>
                </c:pt>
                <c:pt idx="117">
                  <c:v>42010</c:v>
                </c:pt>
                <c:pt idx="118">
                  <c:v>42009</c:v>
                </c:pt>
                <c:pt idx="119">
                  <c:v>42008</c:v>
                </c:pt>
                <c:pt idx="120">
                  <c:v>42007</c:v>
                </c:pt>
              </c:numCache>
            </c:numRef>
          </c:cat>
          <c:val>
            <c:numRef>
              <c:f>'Data. Securities'!$AT$56:$AT$176</c:f>
              <c:numCache>
                <c:formatCode>0.00</c:formatCode>
                <c:ptCount val="121"/>
                <c:pt idx="0">
                  <c:v>171.84987402969685</c:v>
                </c:pt>
                <c:pt idx="1">
                  <c:v>171.84987402969685</c:v>
                </c:pt>
                <c:pt idx="2">
                  <c:v>189.91549018547718</c:v>
                </c:pt>
                <c:pt idx="3">
                  <c:v>192.87675116226487</c:v>
                </c:pt>
                <c:pt idx="4">
                  <c:v>182.1545604985738</c:v>
                </c:pt>
                <c:pt idx="5">
                  <c:v>186.90664318300705</c:v>
                </c:pt>
                <c:pt idx="6">
                  <c:v>167.11973665542209</c:v>
                </c:pt>
                <c:pt idx="7">
                  <c:v>165.49762904963308</c:v>
                </c:pt>
                <c:pt idx="8">
                  <c:v>158.59281888165975</c:v>
                </c:pt>
                <c:pt idx="9">
                  <c:v>152.25103217325238</c:v>
                </c:pt>
                <c:pt idx="10">
                  <c:v>154.56489907183376</c:v>
                </c:pt>
                <c:pt idx="11">
                  <c:v>147.20539748305637</c:v>
                </c:pt>
                <c:pt idx="12">
                  <c:v>138.28989548814292</c:v>
                </c:pt>
                <c:pt idx="13">
                  <c:v>145.79944543212957</c:v>
                </c:pt>
                <c:pt idx="14">
                  <c:v>144.97535223254067</c:v>
                </c:pt>
                <c:pt idx="15">
                  <c:v>135.22594060146358</c:v>
                </c:pt>
                <c:pt idx="16">
                  <c:v>131.15545934069357</c:v>
                </c:pt>
                <c:pt idx="17">
                  <c:v>122.18066908379458</c:v>
                </c:pt>
                <c:pt idx="18">
                  <c:v>113.17052697751686</c:v>
                </c:pt>
                <c:pt idx="19">
                  <c:v>114.4062944360353</c:v>
                </c:pt>
                <c:pt idx="20">
                  <c:v>120.09834168982607</c:v>
                </c:pt>
                <c:pt idx="21">
                  <c:v>119.77150660725306</c:v>
                </c:pt>
                <c:pt idx="22">
                  <c:v>115.33624074963539</c:v>
                </c:pt>
                <c:pt idx="23">
                  <c:v>106.95528125833887</c:v>
                </c:pt>
                <c:pt idx="24">
                  <c:v>103.49978538269505</c:v>
                </c:pt>
                <c:pt idx="25">
                  <c:v>103.02989558325491</c:v>
                </c:pt>
                <c:pt idx="26">
                  <c:v>98.896834622442128</c:v>
                </c:pt>
                <c:pt idx="27">
                  <c:v>104.31224415269472</c:v>
                </c:pt>
                <c:pt idx="28">
                  <c:v>91.929221912766863</c:v>
                </c:pt>
                <c:pt idx="29">
                  <c:v>101.5039632615171</c:v>
                </c:pt>
                <c:pt idx="30">
                  <c:v>97.288294107738125</c:v>
                </c:pt>
                <c:pt idx="31">
                  <c:v>92.449602528116586</c:v>
                </c:pt>
                <c:pt idx="32">
                  <c:v>99.2627502601473</c:v>
                </c:pt>
                <c:pt idx="33">
                  <c:v>103.09365178682054</c:v>
                </c:pt>
                <c:pt idx="34">
                  <c:v>88.642959098228772</c:v>
                </c:pt>
                <c:pt idx="35">
                  <c:v>97.179577875770718</c:v>
                </c:pt>
                <c:pt idx="36">
                  <c:v>102.67656704338371</c:v>
                </c:pt>
                <c:pt idx="37">
                  <c:v>118.35685356621185</c:v>
                </c:pt>
                <c:pt idx="38">
                  <c:v>112.95305922578837</c:v>
                </c:pt>
                <c:pt idx="39">
                  <c:v>118.1369860685121</c:v>
                </c:pt>
                <c:pt idx="40">
                  <c:v>132.10138251583811</c:v>
                </c:pt>
                <c:pt idx="41">
                  <c:v>129.9100072057295</c:v>
                </c:pt>
                <c:pt idx="42">
                  <c:v>128.69347000298615</c:v>
                </c:pt>
                <c:pt idx="43">
                  <c:v>119.32776201133579</c:v>
                </c:pt>
                <c:pt idx="44">
                  <c:v>121.03816000075294</c:v>
                </c:pt>
                <c:pt idx="45">
                  <c:v>116.30363610430001</c:v>
                </c:pt>
                <c:pt idx="46">
                  <c:v>114.8211213730512</c:v>
                </c:pt>
                <c:pt idx="47">
                  <c:v>112.77479420591648</c:v>
                </c:pt>
                <c:pt idx="48">
                  <c:v>115.78988639638126</c:v>
                </c:pt>
                <c:pt idx="49">
                  <c:v>109.52717562175212</c:v>
                </c:pt>
                <c:pt idx="50">
                  <c:v>104.91771235774043</c:v>
                </c:pt>
                <c:pt idx="51">
                  <c:v>106.89292727799868</c:v>
                </c:pt>
                <c:pt idx="52">
                  <c:v>110.96875543932826</c:v>
                </c:pt>
                <c:pt idx="53">
                  <c:v>109.4526377503657</c:v>
                </c:pt>
                <c:pt idx="54">
                  <c:v>100.22764547604193</c:v>
                </c:pt>
                <c:pt idx="55">
                  <c:v>103.40082330642583</c:v>
                </c:pt>
                <c:pt idx="56">
                  <c:v>108.02127139886184</c:v>
                </c:pt>
                <c:pt idx="57">
                  <c:v>98.456500915769766</c:v>
                </c:pt>
                <c:pt idx="58">
                  <c:v>90.635390340141356</c:v>
                </c:pt>
                <c:pt idx="59">
                  <c:v>88.097528144991998</c:v>
                </c:pt>
                <c:pt idx="60">
                  <c:v>84.974332702038538</c:v>
                </c:pt>
                <c:pt idx="61">
                  <c:v>74.102457292583793</c:v>
                </c:pt>
                <c:pt idx="62">
                  <c:v>77.163395660460807</c:v>
                </c:pt>
                <c:pt idx="63">
                  <c:v>81.456481049198146</c:v>
                </c:pt>
                <c:pt idx="64">
                  <c:v>78.964385610961486</c:v>
                </c:pt>
                <c:pt idx="65">
                  <c:v>77.82694259216089</c:v>
                </c:pt>
                <c:pt idx="66">
                  <c:v>78.164022943549568</c:v>
                </c:pt>
                <c:pt idx="67">
                  <c:v>76.113214110018433</c:v>
                </c:pt>
                <c:pt idx="68">
                  <c:v>77.221771724339149</c:v>
                </c:pt>
                <c:pt idx="69">
                  <c:v>76.36463421372396</c:v>
                </c:pt>
                <c:pt idx="70">
                  <c:v>76.405117331273189</c:v>
                </c:pt>
                <c:pt idx="71">
                  <c:v>70.062085102839447</c:v>
                </c:pt>
                <c:pt idx="72">
                  <c:v>74.932362207420411</c:v>
                </c:pt>
                <c:pt idx="73">
                  <c:v>71.718358790398383</c:v>
                </c:pt>
                <c:pt idx="74">
                  <c:v>68.702140111659077</c:v>
                </c:pt>
                <c:pt idx="75">
                  <c:v>69.100065221703275</c:v>
                </c:pt>
                <c:pt idx="76">
                  <c:v>63.41132700771113</c:v>
                </c:pt>
                <c:pt idx="77">
                  <c:v>69.44684525329258</c:v>
                </c:pt>
                <c:pt idx="78">
                  <c:v>68.636704892722236</c:v>
                </c:pt>
                <c:pt idx="79">
                  <c:v>75.483450110917261</c:v>
                </c:pt>
                <c:pt idx="80">
                  <c:v>75.342838281486976</c:v>
                </c:pt>
                <c:pt idx="81">
                  <c:v>71.207376287727243</c:v>
                </c:pt>
                <c:pt idx="82">
                  <c:v>70.566262092707575</c:v>
                </c:pt>
                <c:pt idx="83">
                  <c:v>67.911588179919988</c:v>
                </c:pt>
                <c:pt idx="84">
                  <c:v>67.435974475224114</c:v>
                </c:pt>
                <c:pt idx="85">
                  <c:v>64.613665989622106</c:v>
                </c:pt>
                <c:pt idx="86">
                  <c:v>66.035804012372026</c:v>
                </c:pt>
                <c:pt idx="87">
                  <c:v>67.396357355818807</c:v>
                </c:pt>
                <c:pt idx="88">
                  <c:v>59.268840215582465</c:v>
                </c:pt>
                <c:pt idx="89">
                  <c:v>58.65222661423222</c:v>
                </c:pt>
                <c:pt idx="90">
                  <c:v>55.561149755697883</c:v>
                </c:pt>
                <c:pt idx="91">
                  <c:v>52.536980208352446</c:v>
                </c:pt>
                <c:pt idx="92">
                  <c:v>51.554189795338246</c:v>
                </c:pt>
                <c:pt idx="93">
                  <c:v>52.73539335847547</c:v>
                </c:pt>
                <c:pt idx="94">
                  <c:v>51.147560823592222</c:v>
                </c:pt>
                <c:pt idx="95">
                  <c:v>53.714757733192727</c:v>
                </c:pt>
                <c:pt idx="96">
                  <c:v>51.605353567683458</c:v>
                </c:pt>
                <c:pt idx="97">
                  <c:v>49.346861256327593</c:v>
                </c:pt>
                <c:pt idx="98">
                  <c:v>48.791460465857035</c:v>
                </c:pt>
                <c:pt idx="99">
                  <c:v>46.483935626367987</c:v>
                </c:pt>
                <c:pt idx="100">
                  <c:v>44.285123925510284</c:v>
                </c:pt>
                <c:pt idx="101">
                  <c:v>43.472909920398521</c:v>
                </c:pt>
                <c:pt idx="102">
                  <c:v>43.631548172161658</c:v>
                </c:pt>
                <c:pt idx="103">
                  <c:v>44.042728396597184</c:v>
                </c:pt>
                <c:pt idx="104">
                  <c:v>43.926038930551798</c:v>
                </c:pt>
                <c:pt idx="105">
                  <c:v>44.134634943730568</c:v>
                </c:pt>
                <c:pt idx="106">
                  <c:v>42.046391252834148</c:v>
                </c:pt>
                <c:pt idx="107">
                  <c:v>42.387211353996598</c:v>
                </c:pt>
                <c:pt idx="108">
                  <c:v>41.170217442601839</c:v>
                </c:pt>
                <c:pt idx="109">
                  <c:v>41.205074747363199</c:v>
                </c:pt>
                <c:pt idx="110">
                  <c:v>38.97659820898884</c:v>
                </c:pt>
                <c:pt idx="111">
                  <c:v>38.8545225601505</c:v>
                </c:pt>
                <c:pt idx="112">
                  <c:v>42.571610977421614</c:v>
                </c:pt>
                <c:pt idx="113">
                  <c:v>42.588529919653816</c:v>
                </c:pt>
                <c:pt idx="114">
                  <c:v>41.287341491969592</c:v>
                </c:pt>
                <c:pt idx="115">
                  <c:v>37.991408954163823</c:v>
                </c:pt>
                <c:pt idx="116">
                  <c:v>38.342509137491604</c:v>
                </c:pt>
                <c:pt idx="117">
                  <c:v>39.8013499709092</c:v>
                </c:pt>
                <c:pt idx="118">
                  <c:v>35.884464053999409</c:v>
                </c:pt>
                <c:pt idx="119">
                  <c:v>36.378756485958426</c:v>
                </c:pt>
                <c:pt idx="120">
                  <c:v>36.049999999999997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C-C94F-BCFB-6F686D21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165055"/>
        <c:axId val="1266804575"/>
      </c:lineChart>
      <c:catAx>
        <c:axId val="1267165055"/>
        <c:scaling>
          <c:orientation val="maxMin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66804575"/>
        <c:crosses val="autoZero"/>
        <c:auto val="0"/>
        <c:lblAlgn val="ctr"/>
        <c:lblOffset val="100"/>
        <c:noMultiLvlLbl val="0"/>
      </c:catAx>
      <c:valAx>
        <c:axId val="126680457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6716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Excess Return of the  Benchmark Index  vs. the Securities in the Active Pf (120 months, 2015 - 2025)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Benchmark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Securities'!$B$57:$B$176</c:f>
              <c:numCache>
                <c:formatCode>m/d/yy</c:formatCode>
                <c:ptCount val="120"/>
                <c:pt idx="0">
                  <c:v>45659</c:v>
                </c:pt>
                <c:pt idx="1">
                  <c:v>45658</c:v>
                </c:pt>
                <c:pt idx="2">
                  <c:v>45303</c:v>
                </c:pt>
                <c:pt idx="3">
                  <c:v>45302</c:v>
                </c:pt>
                <c:pt idx="4">
                  <c:v>45301</c:v>
                </c:pt>
                <c:pt idx="5">
                  <c:v>45300</c:v>
                </c:pt>
                <c:pt idx="6">
                  <c:v>45299</c:v>
                </c:pt>
                <c:pt idx="7">
                  <c:v>45298</c:v>
                </c:pt>
                <c:pt idx="8">
                  <c:v>45297</c:v>
                </c:pt>
                <c:pt idx="9">
                  <c:v>45296</c:v>
                </c:pt>
                <c:pt idx="10">
                  <c:v>45295</c:v>
                </c:pt>
                <c:pt idx="11">
                  <c:v>45294</c:v>
                </c:pt>
                <c:pt idx="12">
                  <c:v>45293</c:v>
                </c:pt>
                <c:pt idx="13">
                  <c:v>45292</c:v>
                </c:pt>
                <c:pt idx="14">
                  <c:v>44938</c:v>
                </c:pt>
                <c:pt idx="15">
                  <c:v>44937</c:v>
                </c:pt>
                <c:pt idx="16">
                  <c:v>44936</c:v>
                </c:pt>
                <c:pt idx="17">
                  <c:v>44935</c:v>
                </c:pt>
                <c:pt idx="18">
                  <c:v>44934</c:v>
                </c:pt>
                <c:pt idx="19">
                  <c:v>44933</c:v>
                </c:pt>
                <c:pt idx="20">
                  <c:v>44932</c:v>
                </c:pt>
                <c:pt idx="21">
                  <c:v>44931</c:v>
                </c:pt>
                <c:pt idx="22">
                  <c:v>44930</c:v>
                </c:pt>
                <c:pt idx="23">
                  <c:v>44929</c:v>
                </c:pt>
                <c:pt idx="24">
                  <c:v>44928</c:v>
                </c:pt>
                <c:pt idx="25">
                  <c:v>44927</c:v>
                </c:pt>
                <c:pt idx="26">
                  <c:v>44573</c:v>
                </c:pt>
                <c:pt idx="27">
                  <c:v>44572</c:v>
                </c:pt>
                <c:pt idx="28">
                  <c:v>44571</c:v>
                </c:pt>
                <c:pt idx="29">
                  <c:v>44570</c:v>
                </c:pt>
                <c:pt idx="30">
                  <c:v>44569</c:v>
                </c:pt>
                <c:pt idx="31">
                  <c:v>44568</c:v>
                </c:pt>
                <c:pt idx="32">
                  <c:v>44567</c:v>
                </c:pt>
                <c:pt idx="33">
                  <c:v>44566</c:v>
                </c:pt>
                <c:pt idx="34">
                  <c:v>44565</c:v>
                </c:pt>
                <c:pt idx="35">
                  <c:v>44564</c:v>
                </c:pt>
                <c:pt idx="36">
                  <c:v>44563</c:v>
                </c:pt>
                <c:pt idx="37">
                  <c:v>44562</c:v>
                </c:pt>
                <c:pt idx="38">
                  <c:v>44208</c:v>
                </c:pt>
                <c:pt idx="39">
                  <c:v>44207</c:v>
                </c:pt>
                <c:pt idx="40">
                  <c:v>44206</c:v>
                </c:pt>
                <c:pt idx="41">
                  <c:v>44205</c:v>
                </c:pt>
                <c:pt idx="42">
                  <c:v>44204</c:v>
                </c:pt>
                <c:pt idx="43">
                  <c:v>44203</c:v>
                </c:pt>
                <c:pt idx="44">
                  <c:v>44202</c:v>
                </c:pt>
                <c:pt idx="45">
                  <c:v>44201</c:v>
                </c:pt>
                <c:pt idx="46">
                  <c:v>44200</c:v>
                </c:pt>
                <c:pt idx="47">
                  <c:v>44199</c:v>
                </c:pt>
                <c:pt idx="48">
                  <c:v>44198</c:v>
                </c:pt>
                <c:pt idx="49">
                  <c:v>44197</c:v>
                </c:pt>
                <c:pt idx="50">
                  <c:v>43842</c:v>
                </c:pt>
                <c:pt idx="51">
                  <c:v>43841</c:v>
                </c:pt>
                <c:pt idx="52">
                  <c:v>43840</c:v>
                </c:pt>
                <c:pt idx="53">
                  <c:v>43839</c:v>
                </c:pt>
                <c:pt idx="54">
                  <c:v>43838</c:v>
                </c:pt>
                <c:pt idx="55">
                  <c:v>43837</c:v>
                </c:pt>
                <c:pt idx="56">
                  <c:v>43836</c:v>
                </c:pt>
                <c:pt idx="57">
                  <c:v>43835</c:v>
                </c:pt>
                <c:pt idx="58">
                  <c:v>43834</c:v>
                </c:pt>
                <c:pt idx="59">
                  <c:v>43833</c:v>
                </c:pt>
                <c:pt idx="60">
                  <c:v>43832</c:v>
                </c:pt>
                <c:pt idx="61">
                  <c:v>43831</c:v>
                </c:pt>
                <c:pt idx="62">
                  <c:v>43477</c:v>
                </c:pt>
                <c:pt idx="63">
                  <c:v>43476</c:v>
                </c:pt>
                <c:pt idx="64">
                  <c:v>43475</c:v>
                </c:pt>
                <c:pt idx="65">
                  <c:v>43474</c:v>
                </c:pt>
                <c:pt idx="66">
                  <c:v>43473</c:v>
                </c:pt>
                <c:pt idx="67">
                  <c:v>43472</c:v>
                </c:pt>
                <c:pt idx="68">
                  <c:v>43471</c:v>
                </c:pt>
                <c:pt idx="69">
                  <c:v>43470</c:v>
                </c:pt>
                <c:pt idx="70">
                  <c:v>43469</c:v>
                </c:pt>
                <c:pt idx="71">
                  <c:v>43468</c:v>
                </c:pt>
                <c:pt idx="72">
                  <c:v>43467</c:v>
                </c:pt>
                <c:pt idx="73">
                  <c:v>43466</c:v>
                </c:pt>
                <c:pt idx="74">
                  <c:v>43112</c:v>
                </c:pt>
                <c:pt idx="75">
                  <c:v>43111</c:v>
                </c:pt>
                <c:pt idx="76">
                  <c:v>43110</c:v>
                </c:pt>
                <c:pt idx="77">
                  <c:v>43109</c:v>
                </c:pt>
                <c:pt idx="78">
                  <c:v>43108</c:v>
                </c:pt>
                <c:pt idx="79">
                  <c:v>43107</c:v>
                </c:pt>
                <c:pt idx="80">
                  <c:v>43106</c:v>
                </c:pt>
                <c:pt idx="81">
                  <c:v>43105</c:v>
                </c:pt>
                <c:pt idx="82">
                  <c:v>43104</c:v>
                </c:pt>
                <c:pt idx="83">
                  <c:v>43103</c:v>
                </c:pt>
                <c:pt idx="84">
                  <c:v>43102</c:v>
                </c:pt>
                <c:pt idx="85">
                  <c:v>43101</c:v>
                </c:pt>
                <c:pt idx="86">
                  <c:v>42747</c:v>
                </c:pt>
                <c:pt idx="87">
                  <c:v>42746</c:v>
                </c:pt>
                <c:pt idx="88">
                  <c:v>42745</c:v>
                </c:pt>
                <c:pt idx="89">
                  <c:v>42744</c:v>
                </c:pt>
                <c:pt idx="90">
                  <c:v>42743</c:v>
                </c:pt>
                <c:pt idx="91">
                  <c:v>42742</c:v>
                </c:pt>
                <c:pt idx="92">
                  <c:v>42741</c:v>
                </c:pt>
                <c:pt idx="93">
                  <c:v>42740</c:v>
                </c:pt>
                <c:pt idx="94">
                  <c:v>42739</c:v>
                </c:pt>
                <c:pt idx="95">
                  <c:v>42738</c:v>
                </c:pt>
                <c:pt idx="96">
                  <c:v>42737</c:v>
                </c:pt>
                <c:pt idx="97">
                  <c:v>42736</c:v>
                </c:pt>
                <c:pt idx="98">
                  <c:v>42381</c:v>
                </c:pt>
                <c:pt idx="99">
                  <c:v>42380</c:v>
                </c:pt>
                <c:pt idx="100">
                  <c:v>42379</c:v>
                </c:pt>
                <c:pt idx="101">
                  <c:v>42378</c:v>
                </c:pt>
                <c:pt idx="102">
                  <c:v>42377</c:v>
                </c:pt>
                <c:pt idx="103">
                  <c:v>42376</c:v>
                </c:pt>
                <c:pt idx="104">
                  <c:v>42375</c:v>
                </c:pt>
                <c:pt idx="105">
                  <c:v>42374</c:v>
                </c:pt>
                <c:pt idx="106">
                  <c:v>42373</c:v>
                </c:pt>
                <c:pt idx="107">
                  <c:v>42372</c:v>
                </c:pt>
                <c:pt idx="108">
                  <c:v>42371</c:v>
                </c:pt>
                <c:pt idx="109">
                  <c:v>42370</c:v>
                </c:pt>
                <c:pt idx="110">
                  <c:v>42016</c:v>
                </c:pt>
                <c:pt idx="111">
                  <c:v>42015</c:v>
                </c:pt>
                <c:pt idx="112">
                  <c:v>42014</c:v>
                </c:pt>
                <c:pt idx="113">
                  <c:v>42013</c:v>
                </c:pt>
                <c:pt idx="114">
                  <c:v>42012</c:v>
                </c:pt>
                <c:pt idx="115">
                  <c:v>42011</c:v>
                </c:pt>
                <c:pt idx="116">
                  <c:v>42010</c:v>
                </c:pt>
                <c:pt idx="117">
                  <c:v>42009</c:v>
                </c:pt>
                <c:pt idx="118">
                  <c:v>42008</c:v>
                </c:pt>
                <c:pt idx="119">
                  <c:v>42007</c:v>
                </c:pt>
              </c:numCache>
            </c:numRef>
          </c:cat>
          <c:val>
            <c:numRef>
              <c:f>'Data. Securities'!$E$57:$E$176</c:f>
              <c:numCache>
                <c:formatCode>0.00%</c:formatCode>
                <c:ptCount val="120"/>
                <c:pt idx="0">
                  <c:v>-8.716564190357616E-2</c:v>
                </c:pt>
                <c:pt idx="1">
                  <c:v>-4.5200856948725575E-2</c:v>
                </c:pt>
                <c:pt idx="2">
                  <c:v>4.2540301990153177E-2</c:v>
                </c:pt>
                <c:pt idx="3">
                  <c:v>-1.9404849865219887E-2</c:v>
                </c:pt>
                <c:pt idx="4">
                  <c:v>0.11637454067790125</c:v>
                </c:pt>
                <c:pt idx="5">
                  <c:v>-1.1612019937836332E-2</c:v>
                </c:pt>
                <c:pt idx="6">
                  <c:v>4.6993263847409761E-2</c:v>
                </c:pt>
                <c:pt idx="7">
                  <c:v>1.5699460408295771E-2</c:v>
                </c:pt>
                <c:pt idx="8">
                  <c:v>6.9193438320209275E-3</c:v>
                </c:pt>
                <c:pt idx="9">
                  <c:v>2.1559409131037894E-2</c:v>
                </c:pt>
                <c:pt idx="10">
                  <c:v>1.6793670269806708E-2</c:v>
                </c:pt>
                <c:pt idx="11">
                  <c:v>-5.5508566345410987E-2</c:v>
                </c:pt>
                <c:pt idx="12">
                  <c:v>9.562643060190364E-3</c:v>
                </c:pt>
                <c:pt idx="13">
                  <c:v>7.8290788206979406E-2</c:v>
                </c:pt>
                <c:pt idx="14">
                  <c:v>-1.6472212177202804E-2</c:v>
                </c:pt>
                <c:pt idx="15">
                  <c:v>5.9601837846686316E-2</c:v>
                </c:pt>
                <c:pt idx="16">
                  <c:v>9.920033292072826E-2</c:v>
                </c:pt>
                <c:pt idx="17">
                  <c:v>-3.8191059248195276E-2</c:v>
                </c:pt>
                <c:pt idx="18">
                  <c:v>-6.0049043592634223E-2</c:v>
                </c:pt>
                <c:pt idx="19">
                  <c:v>-3.2015879883169208E-2</c:v>
                </c:pt>
                <c:pt idx="20">
                  <c:v>2.2736782586295787E-2</c:v>
                </c:pt>
                <c:pt idx="21">
                  <c:v>9.884704460966541E-2</c:v>
                </c:pt>
                <c:pt idx="22">
                  <c:v>-1.0538612836439453E-3</c:v>
                </c:pt>
                <c:pt idx="23">
                  <c:v>-8.0212518678825992E-3</c:v>
                </c:pt>
                <c:pt idx="24">
                  <c:v>1.825917101037217E-2</c:v>
                </c:pt>
                <c:pt idx="25">
                  <c:v>-3.0137349323493295E-2</c:v>
                </c:pt>
                <c:pt idx="26">
                  <c:v>0.13831559925093642</c:v>
                </c:pt>
                <c:pt idx="27">
                  <c:v>-0.10312733112024446</c:v>
                </c:pt>
                <c:pt idx="28">
                  <c:v>2.8435565524741722E-2</c:v>
                </c:pt>
                <c:pt idx="29">
                  <c:v>4.9726271477663134E-2</c:v>
                </c:pt>
                <c:pt idx="30">
                  <c:v>-8.8875438472418661E-2</c:v>
                </c:pt>
                <c:pt idx="31">
                  <c:v>-3.2236242049559903E-2</c:v>
                </c:pt>
                <c:pt idx="32">
                  <c:v>0.15102634766772416</c:v>
                </c:pt>
                <c:pt idx="33">
                  <c:v>-0.11139996855345911</c:v>
                </c:pt>
                <c:pt idx="34">
                  <c:v>-4.9442923792379162E-2</c:v>
                </c:pt>
                <c:pt idx="35">
                  <c:v>-0.11521210732054028</c:v>
                </c:pt>
                <c:pt idx="36">
                  <c:v>1.6442637170948481E-2</c:v>
                </c:pt>
                <c:pt idx="37">
                  <c:v>-3.3725520256613142E-2</c:v>
                </c:pt>
                <c:pt idx="38">
                  <c:v>-0.10044309523809525</c:v>
                </c:pt>
                <c:pt idx="39">
                  <c:v>9.6084523378764542E-3</c:v>
                </c:pt>
                <c:pt idx="40">
                  <c:v>-1.5455864020974854E-2</c:v>
                </c:pt>
                <c:pt idx="41">
                  <c:v>8.1832252619324711E-2</c:v>
                </c:pt>
                <c:pt idx="42">
                  <c:v>-3.3647478986325322E-2</c:v>
                </c:pt>
                <c:pt idx="43">
                  <c:v>1.6945599581786295E-2</c:v>
                </c:pt>
                <c:pt idx="44">
                  <c:v>2.9041354206932103E-3</c:v>
                </c:pt>
                <c:pt idx="45">
                  <c:v>8.4580156039466489E-3</c:v>
                </c:pt>
                <c:pt idx="46">
                  <c:v>-2.0333205128205158E-2</c:v>
                </c:pt>
                <c:pt idx="47">
                  <c:v>3.8824355427858726E-2</c:v>
                </c:pt>
                <c:pt idx="48">
                  <c:v>3.2027678291355194E-2</c:v>
                </c:pt>
                <c:pt idx="49">
                  <c:v>4.4619485059472115E-2</c:v>
                </c:pt>
                <c:pt idx="50">
                  <c:v>-2.5665992907801451E-2</c:v>
                </c:pt>
                <c:pt idx="51">
                  <c:v>2.7464883981671122E-2</c:v>
                </c:pt>
                <c:pt idx="52">
                  <c:v>0.12447222423842513</c:v>
                </c:pt>
                <c:pt idx="53">
                  <c:v>-3.3618333333333375E-2</c:v>
                </c:pt>
                <c:pt idx="54">
                  <c:v>-2.160589028541501E-2</c:v>
                </c:pt>
                <c:pt idx="55">
                  <c:v>8.468187524933031E-2</c:v>
                </c:pt>
                <c:pt idx="56">
                  <c:v>6.4577079376674049E-2</c:v>
                </c:pt>
                <c:pt idx="57">
                  <c:v>2.3396975263286859E-3</c:v>
                </c:pt>
                <c:pt idx="58">
                  <c:v>5.9950629354691677E-2</c:v>
                </c:pt>
                <c:pt idx="59">
                  <c:v>0.15225304169488971</c:v>
                </c:pt>
                <c:pt idx="60">
                  <c:v>-0.15344236404350611</c:v>
                </c:pt>
                <c:pt idx="61">
                  <c:v>-8.3043633686690224E-2</c:v>
                </c:pt>
                <c:pt idx="62">
                  <c:v>-1.1600022783035416E-2</c:v>
                </c:pt>
                <c:pt idx="63">
                  <c:v>8.3432059466808841E-3</c:v>
                </c:pt>
                <c:pt idx="64">
                  <c:v>2.2480589519650648E-2</c:v>
                </c:pt>
                <c:pt idx="65">
                  <c:v>7.6852177246243391E-3</c:v>
                </c:pt>
                <c:pt idx="66">
                  <c:v>-9.027811832875824E-3</c:v>
                </c:pt>
                <c:pt idx="67">
                  <c:v>-9.5405159451921601E-3</c:v>
                </c:pt>
                <c:pt idx="68">
                  <c:v>6.5663883275154118E-3</c:v>
                </c:pt>
                <c:pt idx="69">
                  <c:v>6.3089140701548072E-2</c:v>
                </c:pt>
                <c:pt idx="70">
                  <c:v>-6.4105343642611667E-2</c:v>
                </c:pt>
                <c:pt idx="71">
                  <c:v>5.989158052727752E-2</c:v>
                </c:pt>
                <c:pt idx="72">
                  <c:v>1.8061666666666632E-2</c:v>
                </c:pt>
                <c:pt idx="73">
                  <c:v>1.086621119902619E-2</c:v>
                </c:pt>
                <c:pt idx="74">
                  <c:v>8.6466089488426948E-2</c:v>
                </c:pt>
                <c:pt idx="75">
                  <c:v>-9.6416969241056555E-2</c:v>
                </c:pt>
                <c:pt idx="76">
                  <c:v>2.1127648167180598E-2</c:v>
                </c:pt>
                <c:pt idx="77">
                  <c:v>-8.4573467447424749E-2</c:v>
                </c:pt>
                <c:pt idx="78">
                  <c:v>4.4586202081745609E-3</c:v>
                </c:pt>
                <c:pt idx="79">
                  <c:v>5.5546159507965306E-2</c:v>
                </c:pt>
                <c:pt idx="80">
                  <c:v>2.0202376823561911E-2</c:v>
                </c:pt>
                <c:pt idx="81">
                  <c:v>2.8417354779150691E-2</c:v>
                </c:pt>
                <c:pt idx="82">
                  <c:v>8.972451826286993E-3</c:v>
                </c:pt>
                <c:pt idx="83">
                  <c:v>1.3574435424893986E-2</c:v>
                </c:pt>
                <c:pt idx="84">
                  <c:v>-3.1061269113149832E-2</c:v>
                </c:pt>
                <c:pt idx="85">
                  <c:v>-4.4070574889116421E-2</c:v>
                </c:pt>
                <c:pt idx="86">
                  <c:v>8.6620113441940011E-2</c:v>
                </c:pt>
                <c:pt idx="87">
                  <c:v>1.9054090217556715E-2</c:v>
                </c:pt>
                <c:pt idx="88">
                  <c:v>5.7992674418604631E-2</c:v>
                </c:pt>
                <c:pt idx="89">
                  <c:v>3.0454267251890555E-3</c:v>
                </c:pt>
                <c:pt idx="90">
                  <c:v>1.3273861967691121E-4</c:v>
                </c:pt>
                <c:pt idx="91">
                  <c:v>-2.462122743970618E-2</c:v>
                </c:pt>
                <c:pt idx="92">
                  <c:v>1.376607807295477E-2</c:v>
                </c:pt>
                <c:pt idx="93">
                  <c:v>-2.3834417382999077E-2</c:v>
                </c:pt>
                <c:pt idx="94">
                  <c:v>1.0259778503994198E-2</c:v>
                </c:pt>
                <c:pt idx="95">
                  <c:v>2.3307304250559418E-2</c:v>
                </c:pt>
                <c:pt idx="96">
                  <c:v>7.265686767169174E-3</c:v>
                </c:pt>
                <c:pt idx="97">
                  <c:v>1.9597913453299021E-2</c:v>
                </c:pt>
                <c:pt idx="98">
                  <c:v>2.6652344632768377E-2</c:v>
                </c:pt>
                <c:pt idx="99">
                  <c:v>-4.3321941430713891E-3</c:v>
                </c:pt>
                <c:pt idx="100">
                  <c:v>4.8228992021523316E-2</c:v>
                </c:pt>
                <c:pt idx="101">
                  <c:v>-2.6648719412724346E-2</c:v>
                </c:pt>
                <c:pt idx="102">
                  <c:v>-5.4379262777024045E-3</c:v>
                </c:pt>
                <c:pt idx="103">
                  <c:v>-1.6396624252165287E-2</c:v>
                </c:pt>
                <c:pt idx="104">
                  <c:v>3.7454416248373278E-2</c:v>
                </c:pt>
                <c:pt idx="105">
                  <c:v>-1.3204171499585788E-2</c:v>
                </c:pt>
                <c:pt idx="106">
                  <c:v>6.4770879527048433E-5</c:v>
                </c:pt>
                <c:pt idx="107">
                  <c:v>-1.368922496570657E-2</c:v>
                </c:pt>
                <c:pt idx="108">
                  <c:v>5.1759871646400418E-2</c:v>
                </c:pt>
                <c:pt idx="109">
                  <c:v>5.2233489096572376E-3</c:v>
                </c:pt>
                <c:pt idx="110">
                  <c:v>-5.6635678466076547E-2</c:v>
                </c:pt>
                <c:pt idx="111">
                  <c:v>-1.6369346164346328E-2</c:v>
                </c:pt>
                <c:pt idx="112">
                  <c:v>-1.2734979262464962E-2</c:v>
                </c:pt>
                <c:pt idx="113">
                  <c:v>7.1170968992248063E-2</c:v>
                </c:pt>
                <c:pt idx="114">
                  <c:v>-2.0961926592402157E-2</c:v>
                </c:pt>
                <c:pt idx="115">
                  <c:v>-7.2421312056737686E-2</c:v>
                </c:pt>
                <c:pt idx="116">
                  <c:v>4.7328072479970194E-2</c:v>
                </c:pt>
                <c:pt idx="117">
                  <c:v>-1.1027931114193141E-2</c:v>
                </c:pt>
                <c:pt idx="118">
                  <c:v>7.1148766470422054E-3</c:v>
                </c:pt>
                <c:pt idx="119">
                  <c:v>-1.4079248728617535E-2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E-6C49-8EB4-005CF0274D56}"/>
            </c:ext>
          </c:extLst>
        </c:ser>
        <c:ser>
          <c:idx val="1"/>
          <c:order val="1"/>
          <c:tx>
            <c:v>Amazon (AMZN)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Securities'!$H$57:$H$176</c:f>
              <c:numCache>
                <c:formatCode>0.00%</c:formatCode>
                <c:ptCount val="120"/>
                <c:pt idx="0">
                  <c:v>-0.10726925475786701</c:v>
                </c:pt>
                <c:pt idx="1">
                  <c:v>-0.11040470829125998</c:v>
                </c:pt>
                <c:pt idx="2">
                  <c:v>7.9829185696704594E-2</c:v>
                </c:pt>
                <c:pt idx="3">
                  <c:v>5.1779382766527174E-2</c:v>
                </c:pt>
                <c:pt idx="4">
                  <c:v>0.11175136623748201</c:v>
                </c:pt>
                <c:pt idx="5">
                  <c:v>-3.1626557720174247E-3</c:v>
                </c:pt>
                <c:pt idx="6">
                  <c:v>4.0327212885154132E-2</c:v>
                </c:pt>
                <c:pt idx="7">
                  <c:v>-4.8890777445002975E-2</c:v>
                </c:pt>
                <c:pt idx="8">
                  <c:v>-3.5983352738249298E-2</c:v>
                </c:pt>
                <c:pt idx="9">
                  <c:v>9.1734847351318677E-2</c:v>
                </c:pt>
                <c:pt idx="10">
                  <c:v>4.6902380952380824E-3</c:v>
                </c:pt>
                <c:pt idx="11">
                  <c:v>-3.3364256384669375E-2</c:v>
                </c:pt>
                <c:pt idx="12">
                  <c:v>1.6941413215659677E-2</c:v>
                </c:pt>
                <c:pt idx="13">
                  <c:v>0.13537919243986257</c:v>
                </c:pt>
                <c:pt idx="14">
                  <c:v>1.7917504497389259E-2</c:v>
                </c:pt>
                <c:pt idx="15">
                  <c:v>3.6505475277796753E-2</c:v>
                </c:pt>
                <c:pt idx="16">
                  <c:v>9.4139929496330793E-2</c:v>
                </c:pt>
                <c:pt idx="17">
                  <c:v>4.3425165722676726E-2</c:v>
                </c:pt>
                <c:pt idx="18">
                  <c:v>-8.2445658889452364E-2</c:v>
                </c:pt>
                <c:pt idx="19">
                  <c:v>2.8852450628366128E-2</c:v>
                </c:pt>
                <c:pt idx="20">
                  <c:v>2.1929601616037582E-2</c:v>
                </c:pt>
                <c:pt idx="21">
                  <c:v>7.756964477248865E-2</c:v>
                </c:pt>
                <c:pt idx="22">
                  <c:v>0.13994198909435746</c:v>
                </c:pt>
                <c:pt idx="23">
                  <c:v>1.7373662019556552E-2</c:v>
                </c:pt>
                <c:pt idx="24">
                  <c:v>9.2609390321553658E-2</c:v>
                </c:pt>
                <c:pt idx="25">
                  <c:v>-8.9837179449885188E-2</c:v>
                </c:pt>
                <c:pt idx="26">
                  <c:v>0.22419976190476185</c:v>
                </c:pt>
                <c:pt idx="27">
                  <c:v>-0.13343267764657143</c:v>
                </c:pt>
                <c:pt idx="28">
                  <c:v>-6.1133022907718257E-2</c:v>
                </c:pt>
                <c:pt idx="29">
                  <c:v>-9.698966076696168E-2</c:v>
                </c:pt>
                <c:pt idx="30">
                  <c:v>-0.11216024703531327</c:v>
                </c:pt>
                <c:pt idx="31">
                  <c:v>-6.4153375941706753E-2</c:v>
                </c:pt>
                <c:pt idx="32">
                  <c:v>0.26705765574490786</c:v>
                </c:pt>
                <c:pt idx="33">
                  <c:v>-0.12000119000083188</c:v>
                </c:pt>
                <c:pt idx="34">
                  <c:v>-3.6286965454350451E-2</c:v>
                </c:pt>
                <c:pt idx="35">
                  <c:v>-0.24108434560327199</c:v>
                </c:pt>
                <c:pt idx="36">
                  <c:v>5.7936008943301191E-2</c:v>
                </c:pt>
                <c:pt idx="37">
                  <c:v>2.313813922132341E-2</c:v>
                </c:pt>
                <c:pt idx="38">
                  <c:v>-0.10640541586692262</c:v>
                </c:pt>
                <c:pt idx="39">
                  <c:v>-5.2754187339606476E-2</c:v>
                </c:pt>
                <c:pt idx="40">
                  <c:v>3.637389534653851E-2</c:v>
                </c:pt>
                <c:pt idx="41">
                  <c:v>2.3067450532724531E-2</c:v>
                </c:pt>
                <c:pt idx="42">
                  <c:v>-5.7070660174407394E-2</c:v>
                </c:pt>
                <c:pt idx="43">
                  <c:v>3.9495685178507017E-2</c:v>
                </c:pt>
                <c:pt idx="44">
                  <c:v>-3.6268988527798744E-2</c:v>
                </c:pt>
                <c:pt idx="45">
                  <c:v>6.3852296514634296E-2</c:v>
                </c:pt>
                <c:pt idx="46">
                  <c:v>-7.4023423025898358E-2</c:v>
                </c:pt>
                <c:pt idx="47">
                  <c:v>0.11714686382245217</c:v>
                </c:pt>
                <c:pt idx="48">
                  <c:v>-3.2150226317492208E-3</c:v>
                </c:pt>
                <c:pt idx="49">
                  <c:v>-3.8844926808475219E-2</c:v>
                </c:pt>
                <c:pt idx="50">
                  <c:v>-1.9135508648040072E-2</c:v>
                </c:pt>
                <c:pt idx="51">
                  <c:v>2.4555101010100937E-2</c:v>
                </c:pt>
                <c:pt idx="52">
                  <c:v>3.9871191730891709E-2</c:v>
                </c:pt>
                <c:pt idx="53">
                  <c:v>-3.9297987804878018E-2</c:v>
                </c:pt>
                <c:pt idx="54">
                  <c:v>-9.1107153965034368E-2</c:v>
                </c:pt>
                <c:pt idx="55">
                  <c:v>8.6962835850765904E-2</c:v>
                </c:pt>
                <c:pt idx="56">
                  <c:v>0.14355460562563427</c:v>
                </c:pt>
                <c:pt idx="57">
                  <c:v>0.12600637678785886</c:v>
                </c:pt>
                <c:pt idx="58">
                  <c:v>-1.6311170843438413E-2</c:v>
                </c:pt>
                <c:pt idx="59">
                  <c:v>0.26530975364994713</c:v>
                </c:pt>
                <c:pt idx="60">
                  <c:v>3.1497233074990243E-2</c:v>
                </c:pt>
                <c:pt idx="61">
                  <c:v>-6.5764538032656319E-2</c:v>
                </c:pt>
                <c:pt idx="62">
                  <c:v>8.3592308511022076E-2</c:v>
                </c:pt>
                <c:pt idx="63">
                  <c:v>2.2561177994965136E-2</c:v>
                </c:pt>
                <c:pt idx="64">
                  <c:v>1.008319092648889E-2</c:v>
                </c:pt>
                <c:pt idx="65">
                  <c:v>1.9848763440860229E-2</c:v>
                </c:pt>
                <c:pt idx="66">
                  <c:v>-2.6170919753781538E-2</c:v>
                </c:pt>
                <c:pt idx="67">
                  <c:v>-5.2070581029926441E-2</c:v>
                </c:pt>
                <c:pt idx="68">
                  <c:v>-1.7691269539501515E-2</c:v>
                </c:pt>
                <c:pt idx="69">
                  <c:v>6.3278568075117447E-2</c:v>
                </c:pt>
                <c:pt idx="70">
                  <c:v>-8.2226177203363421E-2</c:v>
                </c:pt>
                <c:pt idx="71">
                  <c:v>7.8334982030547964E-2</c:v>
                </c:pt>
                <c:pt idx="72">
                  <c:v>8.2447762532016244E-2</c:v>
                </c:pt>
                <c:pt idx="73">
                  <c:v>-4.9500632611899804E-2</c:v>
                </c:pt>
                <c:pt idx="74">
                  <c:v>0.14080254549489574</c:v>
                </c:pt>
                <c:pt idx="75">
                  <c:v>-0.11488610282806781</c:v>
                </c:pt>
                <c:pt idx="76">
                  <c:v>5.4158788068418846E-2</c:v>
                </c:pt>
                <c:pt idx="77">
                  <c:v>-0.20573503827591944</c:v>
                </c:pt>
                <c:pt idx="78">
                  <c:v>-8.4071727609962392E-3</c:v>
                </c:pt>
                <c:pt idx="79">
                  <c:v>0.12890231030343943</c:v>
                </c:pt>
                <c:pt idx="80">
                  <c:v>4.2114096364278271E-2</c:v>
                </c:pt>
                <c:pt idx="81">
                  <c:v>3.9539722631320461E-2</c:v>
                </c:pt>
                <c:pt idx="82">
                  <c:v>3.694180968799219E-2</c:v>
                </c:pt>
                <c:pt idx="83">
                  <c:v>7.8539875869374928E-2</c:v>
                </c:pt>
                <c:pt idx="84">
                  <c:v>-4.6516381468747238E-2</c:v>
                </c:pt>
                <c:pt idx="85">
                  <c:v>3.8920999448580067E-2</c:v>
                </c:pt>
                <c:pt idx="86">
                  <c:v>0.23709789037113063</c:v>
                </c:pt>
                <c:pt idx="87">
                  <c:v>-9.8265726263313709E-3</c:v>
                </c:pt>
                <c:pt idx="88">
                  <c:v>6.124632102786836E-2</c:v>
                </c:pt>
                <c:pt idx="89">
                  <c:v>0.14603520525622352</c:v>
                </c:pt>
                <c:pt idx="90">
                  <c:v>-2.3118182405330086E-2</c:v>
                </c:pt>
                <c:pt idx="91">
                  <c:v>-1.0827258216912994E-2</c:v>
                </c:pt>
                <c:pt idx="92">
                  <c:v>1.6916212121212162E-2</c:v>
                </c:pt>
                <c:pt idx="93">
                  <c:v>-3.028275320061663E-2</c:v>
                </c:pt>
                <c:pt idx="94">
                  <c:v>7.1704909909909839E-2</c:v>
                </c:pt>
                <c:pt idx="95">
                  <c:v>3.9773193849161635E-2</c:v>
                </c:pt>
                <c:pt idx="96">
                  <c:v>4.5692435897435858E-2</c:v>
                </c:pt>
                <c:pt idx="97">
                  <c:v>2.2694360375678041E-2</c:v>
                </c:pt>
                <c:pt idx="98">
                  <c:v>9.4621175869120638E-2</c:v>
                </c:pt>
                <c:pt idx="99">
                  <c:v>-4.6041473487876136E-3</c:v>
                </c:pt>
                <c:pt idx="100">
                  <c:v>-5.31711517683802E-2</c:v>
                </c:pt>
                <c:pt idx="101">
                  <c:v>-6.0380941405938908E-2</c:v>
                </c:pt>
                <c:pt idx="102">
                  <c:v>8.5125213208528241E-2</c:v>
                </c:pt>
                <c:pt idx="103">
                  <c:v>1.0167518010894478E-2</c:v>
                </c:pt>
                <c:pt idx="104">
                  <c:v>5.6830587851686133E-2</c:v>
                </c:pt>
                <c:pt idx="105">
                  <c:v>-1.3499595093156227E-2</c:v>
                </c:pt>
                <c:pt idx="106">
                  <c:v>9.2277312512634033E-2</c:v>
                </c:pt>
                <c:pt idx="107">
                  <c:v>0.10764765049415984</c:v>
                </c:pt>
                <c:pt idx="108">
                  <c:v>7.0656382555193659E-2</c:v>
                </c:pt>
                <c:pt idx="109">
                  <c:v>-6.2141399772856411E-2</c:v>
                </c:pt>
                <c:pt idx="110">
                  <c:v>-0.13493815576600565</c:v>
                </c:pt>
                <c:pt idx="111">
                  <c:v>1.3007996389891611E-2</c:v>
                </c:pt>
                <c:pt idx="112">
                  <c:v>5.8442497337593227E-2</c:v>
                </c:pt>
                <c:pt idx="113">
                  <c:v>0.21959570339976556</c:v>
                </c:pt>
                <c:pt idx="114">
                  <c:v>-5.4884113364534852E-3</c:v>
                </c:pt>
                <c:pt idx="115">
                  <c:v>-4.7178766007708497E-2</c:v>
                </c:pt>
                <c:pt idx="116">
                  <c:v>0.23194553763440859</c:v>
                </c:pt>
                <c:pt idx="117">
                  <c:v>7.6452640571605356E-3</c:v>
                </c:pt>
                <c:pt idx="118">
                  <c:v>1.4005526315789522E-2</c:v>
                </c:pt>
                <c:pt idx="119">
                  <c:v>0.13033263440860204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E-6C49-8EB4-005CF0274D56}"/>
            </c:ext>
          </c:extLst>
        </c:ser>
        <c:ser>
          <c:idx val="2"/>
          <c:order val="2"/>
          <c:tx>
            <c:v>Tesla (TSLA)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Securities'!$M$57:$M$176</c:f>
              <c:numCache>
                <c:formatCode>0.00%</c:formatCode>
                <c:ptCount val="120"/>
                <c:pt idx="0">
                  <c:v>-0.11897283398184173</c:v>
                </c:pt>
                <c:pt idx="1">
                  <c:v>-0.27941574312077772</c:v>
                </c:pt>
                <c:pt idx="2">
                  <c:v>-1.6563998943474778E-3</c:v>
                </c:pt>
                <c:pt idx="3">
                  <c:v>0.16646977884652511</c:v>
                </c:pt>
                <c:pt idx="4">
                  <c:v>0.37793054799546411</c:v>
                </c:pt>
                <c:pt idx="5">
                  <c:v>-4.8563750907770521E-2</c:v>
                </c:pt>
                <c:pt idx="6">
                  <c:v>0.21840365910046228</c:v>
                </c:pt>
                <c:pt idx="7">
                  <c:v>-8.0928775872222386E-2</c:v>
                </c:pt>
                <c:pt idx="8">
                  <c:v>0.16924315039417828</c:v>
                </c:pt>
                <c:pt idx="9">
                  <c:v>0.10764765049415982</c:v>
                </c:pt>
                <c:pt idx="10">
                  <c:v>-3.1910223337698176E-2</c:v>
                </c:pt>
                <c:pt idx="11">
                  <c:v>3.906932352996953E-2</c:v>
                </c:pt>
                <c:pt idx="12">
                  <c:v>-0.13277352255465294</c:v>
                </c:pt>
                <c:pt idx="13">
                  <c:v>7.4362248651823393E-2</c:v>
                </c:pt>
                <c:pt idx="14">
                  <c:v>-0.24979557737711955</c:v>
                </c:pt>
                <c:pt idx="15">
                  <c:v>3.1450003887592934E-2</c:v>
                </c:pt>
                <c:pt idx="16">
                  <c:v>0.19184107315939725</c:v>
                </c:pt>
                <c:pt idx="17">
                  <c:v>-0.20088466855833531</c:v>
                </c:pt>
                <c:pt idx="18">
                  <c:v>-3.3994005992973697E-2</c:v>
                </c:pt>
                <c:pt idx="19">
                  <c:v>-3.8500753405875762E-2</c:v>
                </c:pt>
                <c:pt idx="20">
                  <c:v>1.808370127720273E-2</c:v>
                </c:pt>
                <c:pt idx="21">
                  <c:v>0.28008840133052182</c:v>
                </c:pt>
                <c:pt idx="22">
                  <c:v>0.23759123881687058</c:v>
                </c:pt>
                <c:pt idx="23">
                  <c:v>-0.21153023538674123</c:v>
                </c:pt>
                <c:pt idx="24">
                  <c:v>4.9687883428126984E-3</c:v>
                </c:pt>
                <c:pt idx="25">
                  <c:v>0.18402661297771625</c:v>
                </c:pt>
                <c:pt idx="26">
                  <c:v>0.40269644503977914</c:v>
                </c:pt>
                <c:pt idx="27">
                  <c:v>-0.37087269388803279</c:v>
                </c:pt>
                <c:pt idx="28">
                  <c:v>-0.14786460563710413</c:v>
                </c:pt>
                <c:pt idx="29">
                  <c:v>-0.14570609959158032</c:v>
                </c:pt>
                <c:pt idx="30">
                  <c:v>-4.1127680599397747E-2</c:v>
                </c:pt>
                <c:pt idx="31">
                  <c:v>-7.602697543328274E-2</c:v>
                </c:pt>
                <c:pt idx="32">
                  <c:v>0.32024658224558583</c:v>
                </c:pt>
                <c:pt idx="33">
                  <c:v>-0.11542755192878339</c:v>
                </c:pt>
                <c:pt idx="34">
                  <c:v>-0.13273729974160206</c:v>
                </c:pt>
                <c:pt idx="35">
                  <c:v>-0.19549267631774311</c:v>
                </c:pt>
                <c:pt idx="36">
                  <c:v>0.23448469003469591</c:v>
                </c:pt>
                <c:pt idx="37">
                  <c:v>-7.4317221368178393E-2</c:v>
                </c:pt>
                <c:pt idx="38">
                  <c:v>-0.11714759921648778</c:v>
                </c:pt>
                <c:pt idx="39">
                  <c:v>-8.0400934554539311E-2</c:v>
                </c:pt>
                <c:pt idx="40">
                  <c:v>2.4092076275370491E-2</c:v>
                </c:pt>
                <c:pt idx="41">
                  <c:v>0.43299692915264282</c:v>
                </c:pt>
                <c:pt idx="42">
                  <c:v>5.0490373239819496E-2</c:v>
                </c:pt>
                <c:pt idx="43">
                  <c:v>6.7051442717655521E-2</c:v>
                </c:pt>
                <c:pt idx="44">
                  <c:v>7.4957841579497142E-3</c:v>
                </c:pt>
                <c:pt idx="45">
                  <c:v>8.3597600642963371E-2</c:v>
                </c:pt>
                <c:pt idx="46">
                  <c:v>-0.1222375890843482</c:v>
                </c:pt>
                <c:pt idx="47">
                  <c:v>5.8624799976045056E-2</c:v>
                </c:pt>
                <c:pt idx="48">
                  <c:v>-1.4774288389513113E-2</c:v>
                </c:pt>
                <c:pt idx="49">
                  <c:v>-0.1522661697100299</c:v>
                </c:pt>
                <c:pt idx="50">
                  <c:v>0.12098339100983473</c:v>
                </c:pt>
                <c:pt idx="51">
                  <c:v>0.23969633897110648</c:v>
                </c:pt>
                <c:pt idx="52">
                  <c:v>0.459159772580853</c:v>
                </c:pt>
                <c:pt idx="53">
                  <c:v>-9.8992878787878838E-2</c:v>
                </c:pt>
                <c:pt idx="54">
                  <c:v>-0.14266300975257368</c:v>
                </c:pt>
                <c:pt idx="55">
                  <c:v>0.73802174215419047</c:v>
                </c:pt>
                <c:pt idx="56">
                  <c:v>0.32136790364402468</c:v>
                </c:pt>
                <c:pt idx="57">
                  <c:v>0.28961776510388587</c:v>
                </c:pt>
                <c:pt idx="58">
                  <c:v>6.4368821855617347E-2</c:v>
                </c:pt>
                <c:pt idx="59">
                  <c:v>0.48887506489168825</c:v>
                </c:pt>
                <c:pt idx="60">
                  <c:v>-0.21912333221049482</c:v>
                </c:pt>
                <c:pt idx="61">
                  <c:v>2.3208265698255407E-2</c:v>
                </c:pt>
                <c:pt idx="62">
                  <c:v>0.55149931456914059</c:v>
                </c:pt>
                <c:pt idx="63">
                  <c:v>0.26418893939393945</c:v>
                </c:pt>
                <c:pt idx="64">
                  <c:v>4.4579818167381373E-2</c:v>
                </c:pt>
                <c:pt idx="65">
                  <c:v>0.30343551473640518</c:v>
                </c:pt>
                <c:pt idx="66">
                  <c:v>6.4280815602836855E-2</c:v>
                </c:pt>
                <c:pt idx="67">
                  <c:v>-6.9956707014276864E-2</c:v>
                </c:pt>
                <c:pt idx="68">
                  <c:v>7.7669720357941771E-2</c:v>
                </c:pt>
                <c:pt idx="69">
                  <c:v>0.20391709616423559</c:v>
                </c:pt>
                <c:pt idx="70">
                  <c:v>-0.22792551120888332</c:v>
                </c:pt>
                <c:pt idx="71">
                  <c:v>-0.15091239549839228</c:v>
                </c:pt>
                <c:pt idx="72">
                  <c:v>-0.12871414205344578</c:v>
                </c:pt>
                <c:pt idx="73">
                  <c:v>3.8474368181077981E-2</c:v>
                </c:pt>
                <c:pt idx="74">
                  <c:v>-8.1050726303139656E-2</c:v>
                </c:pt>
                <c:pt idx="75">
                  <c:v>-5.403041720154042E-2</c:v>
                </c:pt>
                <c:pt idx="76">
                  <c:v>3.5590168222914005E-2</c:v>
                </c:pt>
                <c:pt idx="77">
                  <c:v>0.27068262983947122</c:v>
                </c:pt>
                <c:pt idx="78">
                  <c:v>-0.12586553373114542</c:v>
                </c:pt>
                <c:pt idx="79">
                  <c:v>8.0310831656606532E-3</c:v>
                </c:pt>
                <c:pt idx="80">
                  <c:v>-0.13389703849518814</c:v>
                </c:pt>
                <c:pt idx="81">
                  <c:v>0.20088737794169295</c:v>
                </c:pt>
                <c:pt idx="82">
                  <c:v>-3.4676669218989251E-2</c:v>
                </c:pt>
                <c:pt idx="83">
                  <c:v>0.10074577038707261</c:v>
                </c:pt>
                <c:pt idx="84">
                  <c:v>-0.22784965821308859</c:v>
                </c:pt>
                <c:pt idx="85">
                  <c:v>-3.5291085238498443E-2</c:v>
                </c:pt>
                <c:pt idx="86">
                  <c:v>0.13422659922928704</c:v>
                </c:pt>
                <c:pt idx="87">
                  <c:v>4.7181018293670895E-3</c:v>
                </c:pt>
                <c:pt idx="88">
                  <c:v>-7.186412518853702E-2</c:v>
                </c:pt>
                <c:pt idx="89">
                  <c:v>-3.1682572559366622E-2</c:v>
                </c:pt>
                <c:pt idx="90">
                  <c:v>-4.5257675937631768E-2</c:v>
                </c:pt>
                <c:pt idx="91">
                  <c:v>9.7111017316017401E-2</c:v>
                </c:pt>
                <c:pt idx="92">
                  <c:v>-0.10930357597124295</c:v>
                </c:pt>
                <c:pt idx="93">
                  <c:v>5.7174381140929716E-2</c:v>
                </c:pt>
                <c:pt idx="94">
                  <c:v>8.1943997134670432E-2</c:v>
                </c:pt>
                <c:pt idx="95">
                  <c:v>0.12530263701707101</c:v>
                </c:pt>
                <c:pt idx="96">
                  <c:v>0.10923911117776437</c:v>
                </c:pt>
                <c:pt idx="97">
                  <c:v>-1.1276428571428512E-2</c:v>
                </c:pt>
                <c:pt idx="98">
                  <c:v>0.17540903508771935</c:v>
                </c:pt>
                <c:pt idx="99">
                  <c:v>0.12472769992082336</c:v>
                </c:pt>
                <c:pt idx="100">
                  <c:v>-4.526822711178545E-2</c:v>
                </c:pt>
                <c:pt idx="101">
                  <c:v>-3.4420686274509796E-2</c:v>
                </c:pt>
                <c:pt idx="102">
                  <c:v>-4.1047179759377286E-2</c:v>
                </c:pt>
                <c:pt idx="103">
                  <c:v>-0.10066293397231095</c:v>
                </c:pt>
                <c:pt idx="104">
                  <c:v>0.10246873380447585</c:v>
                </c:pt>
                <c:pt idx="105">
                  <c:v>-5.2597473118279593E-2</c:v>
                </c:pt>
                <c:pt idx="106">
                  <c:v>-7.6435529595015567E-2</c:v>
                </c:pt>
                <c:pt idx="107">
                  <c:v>4.4111797214969571E-2</c:v>
                </c:pt>
                <c:pt idx="108">
                  <c:v>0.19333666666666663</c:v>
                </c:pt>
                <c:pt idx="109">
                  <c:v>3.8323529411770285E-4</c:v>
                </c:pt>
                <c:pt idx="110">
                  <c:v>-0.20666333333333334</c:v>
                </c:pt>
                <c:pt idx="111">
                  <c:v>3.8806943539630864E-2</c:v>
                </c:pt>
                <c:pt idx="112">
                  <c:v>0.10878050724637672</c:v>
                </c:pt>
                <c:pt idx="113">
                  <c:v>-0.17020499999999988</c:v>
                </c:pt>
                <c:pt idx="114">
                  <c:v>-5.9479718875503629E-3</c:v>
                </c:pt>
                <c:pt idx="115">
                  <c:v>-6.7799889139421116E-2</c:v>
                </c:pt>
                <c:pt idx="116">
                  <c:v>-1.1368310961968711E-2</c:v>
                </c:pt>
                <c:pt idx="117">
                  <c:v>6.5839657097288687E-2</c:v>
                </c:pt>
                <c:pt idx="118">
                  <c:v>0.10595071776155708</c:v>
                </c:pt>
                <c:pt idx="119">
                  <c:v>0.19439489401165874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CE-6C49-8EB4-005CF0274D56}"/>
            </c:ext>
          </c:extLst>
        </c:ser>
        <c:ser>
          <c:idx val="3"/>
          <c:order val="3"/>
          <c:tx>
            <c:v>Costco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Securities'!$R$57:$R$176</c:f>
              <c:numCache>
                <c:formatCode>0.00%</c:formatCode>
                <c:ptCount val="120"/>
                <c:pt idx="0">
                  <c:v>-0.10160148359892296</c:v>
                </c:pt>
                <c:pt idx="1">
                  <c:v>6.6602908451374898E-2</c:v>
                </c:pt>
                <c:pt idx="2">
                  <c:v>6.5884435064627975E-2</c:v>
                </c:pt>
                <c:pt idx="3">
                  <c:v>-6.0757331563567531E-2</c:v>
                </c:pt>
                <c:pt idx="4">
                  <c:v>0.10822354637107542</c:v>
                </c:pt>
                <c:pt idx="5">
                  <c:v>-1.7457929055934102E-2</c:v>
                </c:pt>
                <c:pt idx="6">
                  <c:v>-1.0105042582756241E-2</c:v>
                </c:pt>
                <c:pt idx="7">
                  <c:v>8.2082104622871035E-2</c:v>
                </c:pt>
                <c:pt idx="8">
                  <c:v>-3.646813250744127E-2</c:v>
                </c:pt>
                <c:pt idx="9">
                  <c:v>4.5974563479814164E-2</c:v>
                </c:pt>
                <c:pt idx="10">
                  <c:v>0.1167964294277678</c:v>
                </c:pt>
                <c:pt idx="11">
                  <c:v>-1.6819252760602237E-2</c:v>
                </c:pt>
                <c:pt idx="12">
                  <c:v>-1.867497988053788E-2</c:v>
                </c:pt>
                <c:pt idx="13">
                  <c:v>6.6991830148131079E-2</c:v>
                </c:pt>
                <c:pt idx="14">
                  <c:v>4.9182548983961467E-2</c:v>
                </c:pt>
                <c:pt idx="15">
                  <c:v>0.13539465030943032</c:v>
                </c:pt>
                <c:pt idx="16">
                  <c:v>6.94030173775671E-2</c:v>
                </c:pt>
                <c:pt idx="17">
                  <c:v>-2.5696189958966952E-2</c:v>
                </c:pt>
                <c:pt idx="18">
                  <c:v>2.5005431911420472E-2</c:v>
                </c:pt>
                <c:pt idx="19">
                  <c:v>-2.3841142527058243E-2</c:v>
                </c:pt>
                <c:pt idx="20">
                  <c:v>3.7855257213958854E-2</c:v>
                </c:pt>
                <c:pt idx="21">
                  <c:v>4.8902787863035896E-2</c:v>
                </c:pt>
                <c:pt idx="22">
                  <c:v>1.302569731520443E-2</c:v>
                </c:pt>
                <c:pt idx="23">
                  <c:v>9.2441787081634762E-3</c:v>
                </c:pt>
                <c:pt idx="24">
                  <c:v>2.2675730585890948E-2</c:v>
                </c:pt>
                <c:pt idx="25">
                  <c:v>-5.6282595694019159E-2</c:v>
                </c:pt>
                <c:pt idx="26">
                  <c:v>0.11614353067473199</c:v>
                </c:pt>
                <c:pt idx="27">
                  <c:v>-0.15699203738825873</c:v>
                </c:pt>
                <c:pt idx="28">
                  <c:v>7.1734431018660075E-2</c:v>
                </c:pt>
                <c:pt idx="29">
                  <c:v>5.8353950704174609E-2</c:v>
                </c:pt>
                <c:pt idx="30">
                  <c:v>-9.8976050036892721E-2</c:v>
                </c:pt>
                <c:pt idx="31">
                  <c:v>-3.9002944299588067E-2</c:v>
                </c:pt>
                <c:pt idx="32">
                  <c:v>0.1258628872718478</c:v>
                </c:pt>
                <c:pt idx="33">
                  <c:v>2.4475267631896416E-2</c:v>
                </c:pt>
                <c:pt idx="34">
                  <c:v>-0.1267351019426812</c:v>
                </c:pt>
                <c:pt idx="35">
                  <c:v>-8.0174511292661954E-2</c:v>
                </c:pt>
                <c:pt idx="36">
                  <c:v>0.10548274210491754</c:v>
                </c:pt>
                <c:pt idx="37">
                  <c:v>2.4402545387055434E-2</c:v>
                </c:pt>
                <c:pt idx="38">
                  <c:v>-0.11375668023828409</c:v>
                </c:pt>
                <c:pt idx="39">
                  <c:v>4.8965506329914088E-2</c:v>
                </c:pt>
                <c:pt idx="40">
                  <c:v>9.3796303898517785E-2</c:v>
                </c:pt>
                <c:pt idx="41">
                  <c:v>9.0348228939062872E-2</c:v>
                </c:pt>
                <c:pt idx="42">
                  <c:v>-1.7010580504161429E-2</c:v>
                </c:pt>
                <c:pt idx="43">
                  <c:v>5.6413590887815245E-2</c:v>
                </c:pt>
                <c:pt idx="44">
                  <c:v>8.2537092520312619E-2</c:v>
                </c:pt>
                <c:pt idx="45">
                  <c:v>4.2452041403053385E-2</c:v>
                </c:pt>
                <c:pt idx="46">
                  <c:v>1.3063282850493891E-2</c:v>
                </c:pt>
                <c:pt idx="47">
                  <c:v>5.21139415041783E-2</c:v>
                </c:pt>
                <c:pt idx="48">
                  <c:v>6.1348578049684833E-2</c:v>
                </c:pt>
                <c:pt idx="49">
                  <c:v>-6.4335222389893282E-2</c:v>
                </c:pt>
                <c:pt idx="50">
                  <c:v>-6.8169169381107508E-2</c:v>
                </c:pt>
                <c:pt idx="51">
                  <c:v>-1.6611629518502632E-2</c:v>
                </c:pt>
                <c:pt idx="52">
                  <c:v>9.1959700358044141E-2</c:v>
                </c:pt>
                <c:pt idx="53">
                  <c:v>3.8230857354028358E-3</c:v>
                </c:pt>
                <c:pt idx="54">
                  <c:v>1.759374213836478E-2</c:v>
                </c:pt>
                <c:pt idx="55">
                  <c:v>6.442439678240959E-2</c:v>
                </c:pt>
                <c:pt idx="56">
                  <c:v>7.0085758047767524E-2</c:v>
                </c:pt>
                <c:pt idx="57">
                  <c:v>-2.0584367833690748E-2</c:v>
                </c:pt>
                <c:pt idx="58">
                  <c:v>1.4508081630296861E-2</c:v>
                </c:pt>
                <c:pt idx="59">
                  <c:v>5.9148014073446852E-2</c:v>
                </c:pt>
                <c:pt idx="60">
                  <c:v>1.0647652406017888E-2</c:v>
                </c:pt>
                <c:pt idx="61">
                  <c:v>-8.3339089087369811E-2</c:v>
                </c:pt>
                <c:pt idx="62">
                  <c:v>3.5918906445277669E-2</c:v>
                </c:pt>
                <c:pt idx="63">
                  <c:v>-2.3177064692291582E-2</c:v>
                </c:pt>
                <c:pt idx="64">
                  <c:v>5.5400516325787453E-3</c:v>
                </c:pt>
                <c:pt idx="65">
                  <c:v>2.7717358626886634E-2</c:v>
                </c:pt>
                <c:pt idx="66">
                  <c:v>-2.6112661266393798E-2</c:v>
                </c:pt>
                <c:pt idx="67">
                  <c:v>6.5877552737796122E-2</c:v>
                </c:pt>
                <c:pt idx="68">
                  <c:v>3.9473700504388629E-2</c:v>
                </c:pt>
                <c:pt idx="69">
                  <c:v>9.9497545231523987E-2</c:v>
                </c:pt>
                <c:pt idx="70">
                  <c:v>-2.7775317175344053E-2</c:v>
                </c:pt>
                <c:pt idx="71">
                  <c:v>1.0461926733417089E-2</c:v>
                </c:pt>
                <c:pt idx="72">
                  <c:v>0.10340917650257503</c:v>
                </c:pt>
                <c:pt idx="73">
                  <c:v>1.5630370823145823E-2</c:v>
                </c:pt>
                <c:pt idx="74">
                  <c:v>5.0042295208655364E-2</c:v>
                </c:pt>
                <c:pt idx="75">
                  <c:v>-0.1227469370452724</c:v>
                </c:pt>
                <c:pt idx="76">
                  <c:v>8.0756953115436458E-3</c:v>
                </c:pt>
                <c:pt idx="77">
                  <c:v>-3.0125759044937913E-2</c:v>
                </c:pt>
                <c:pt idx="78">
                  <c:v>3.93476800372153E-3</c:v>
                </c:pt>
                <c:pt idx="79">
                  <c:v>6.2395732600732647E-2</c:v>
                </c:pt>
                <c:pt idx="80">
                  <c:v>4.301650796839418E-2</c:v>
                </c:pt>
                <c:pt idx="81">
                  <c:v>5.0675982634476965E-2</c:v>
                </c:pt>
                <c:pt idx="82">
                  <c:v>1.8912418822526447E-3</c:v>
                </c:pt>
                <c:pt idx="83">
                  <c:v>4.2802314990160163E-2</c:v>
                </c:pt>
                <c:pt idx="84">
                  <c:v>-1.6458229974160177E-2</c:v>
                </c:pt>
                <c:pt idx="85">
                  <c:v>-2.3897034254322193E-2</c:v>
                </c:pt>
                <c:pt idx="86">
                  <c:v>4.343358501560083E-2</c:v>
                </c:pt>
                <c:pt idx="87">
                  <c:v>5.6234489463002739E-3</c:v>
                </c:pt>
                <c:pt idx="88">
                  <c:v>0.14143169533489705</c:v>
                </c:pt>
                <c:pt idx="89">
                  <c:v>-2.3086052766066199E-2</c:v>
                </c:pt>
                <c:pt idx="90">
                  <c:v>4.4673800053568961E-2</c:v>
                </c:pt>
                <c:pt idx="91">
                  <c:v>-1.4728163168465411E-2</c:v>
                </c:pt>
                <c:pt idx="92">
                  <c:v>-1.2397763704773117E-2</c:v>
                </c:pt>
                <c:pt idx="93">
                  <c:v>-0.11714428993853374</c:v>
                </c:pt>
                <c:pt idx="94">
                  <c:v>5.3913841114596815E-2</c:v>
                </c:pt>
                <c:pt idx="95">
                  <c:v>5.5066862994074366E-2</c:v>
                </c:pt>
                <c:pt idx="96">
                  <c:v>-5.7094354533875659E-2</c:v>
                </c:pt>
                <c:pt idx="97">
                  <c:v>7.7114347319347215E-2</c:v>
                </c:pt>
                <c:pt idx="98">
                  <c:v>2.046766816704183E-2</c:v>
                </c:pt>
                <c:pt idx="99">
                  <c:v>6.3094386532819249E-2</c:v>
                </c:pt>
                <c:pt idx="100">
                  <c:v>1.1599755575247464E-2</c:v>
                </c:pt>
                <c:pt idx="101">
                  <c:v>-3.3967201379442022E-2</c:v>
                </c:pt>
                <c:pt idx="102">
                  <c:v>-6.2619443546214029E-2</c:v>
                </c:pt>
                <c:pt idx="103">
                  <c:v>-3.4229204431674647E-2</c:v>
                </c:pt>
                <c:pt idx="104">
                  <c:v>6.1264892921707649E-2</c:v>
                </c:pt>
                <c:pt idx="105">
                  <c:v>5.2098777647288978E-2</c:v>
                </c:pt>
                <c:pt idx="106">
                  <c:v>7.3706103494038415E-4</c:v>
                </c:pt>
                <c:pt idx="107">
                  <c:v>-6.3478739403598772E-2</c:v>
                </c:pt>
                <c:pt idx="108">
                  <c:v>4.6752787481804926E-2</c:v>
                </c:pt>
                <c:pt idx="109">
                  <c:v>-1.0763766859344893E-2</c:v>
                </c:pt>
                <c:pt idx="110">
                  <c:v>-6.7770922920892498E-2</c:v>
                </c:pt>
                <c:pt idx="111">
                  <c:v>-3.06481645583896E-3</c:v>
                </c:pt>
                <c:pt idx="112">
                  <c:v>1.7387081031307556E-2</c:v>
                </c:pt>
                <c:pt idx="113">
                  <c:v>9.0117255790533771E-2</c:v>
                </c:pt>
                <c:pt idx="114">
                  <c:v>2.8739851603513816E-2</c:v>
                </c:pt>
                <c:pt idx="115">
                  <c:v>-3.9684722451842402E-2</c:v>
                </c:pt>
                <c:pt idx="116">
                  <c:v>7.229641482739102E-2</c:v>
                </c:pt>
                <c:pt idx="117">
                  <c:v>-5.6302922091183032E-2</c:v>
                </c:pt>
                <c:pt idx="118">
                  <c:v>-6.7444402035622452E-3</c:v>
                </c:pt>
                <c:pt idx="119">
                  <c:v>-5.9326137859785751E-2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CE-6C49-8EB4-005CF0274D56}"/>
            </c:ext>
          </c:extLst>
        </c:ser>
        <c:ser>
          <c:idx val="4"/>
          <c:order val="4"/>
          <c:tx>
            <c:v>Netflix (NFLX)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Securities'!$W$57:$W$176</c:f>
              <c:numCache>
                <c:formatCode>0.00%</c:formatCode>
                <c:ptCount val="120"/>
                <c:pt idx="0">
                  <c:v>-5.2520547578254577E-2</c:v>
                </c:pt>
                <c:pt idx="1">
                  <c:v>3.5207986950047936E-4</c:v>
                </c:pt>
                <c:pt idx="2">
                  <c:v>9.2319495504794305E-2</c:v>
                </c:pt>
                <c:pt idx="3">
                  <c:v>1.5473107166887744E-3</c:v>
                </c:pt>
                <c:pt idx="4">
                  <c:v>0.16944422026903691</c:v>
                </c:pt>
                <c:pt idx="5">
                  <c:v>6.2388605632081796E-2</c:v>
                </c:pt>
                <c:pt idx="6">
                  <c:v>7.7541739740024616E-3</c:v>
                </c:pt>
                <c:pt idx="7">
                  <c:v>0.1126389563937296</c:v>
                </c:pt>
                <c:pt idx="8">
                  <c:v>-7.2483923660502575E-2</c:v>
                </c:pt>
                <c:pt idx="9">
                  <c:v>4.8299202903068265E-2</c:v>
                </c:pt>
                <c:pt idx="10">
                  <c:v>0.16168758559736551</c:v>
                </c:pt>
                <c:pt idx="11">
                  <c:v>-9.6881326434283488E-2</c:v>
                </c:pt>
                <c:pt idx="12">
                  <c:v>3.7760699042439275E-3</c:v>
                </c:pt>
                <c:pt idx="13">
                  <c:v>6.5260305230067317E-2</c:v>
                </c:pt>
                <c:pt idx="14">
                  <c:v>0.15508391444846098</c:v>
                </c:pt>
                <c:pt idx="15">
                  <c:v>2.3699677511234817E-2</c:v>
                </c:pt>
                <c:pt idx="16">
                  <c:v>0.14774054154825239</c:v>
                </c:pt>
                <c:pt idx="17">
                  <c:v>8.6742387005649638E-2</c:v>
                </c:pt>
                <c:pt idx="18">
                  <c:v>-0.13285026840066405</c:v>
                </c:pt>
                <c:pt idx="19">
                  <c:v>-1.5589270755025066E-2</c:v>
                </c:pt>
                <c:pt idx="20">
                  <c:v>-6.9890359599536463E-3</c:v>
                </c:pt>
                <c:pt idx="21">
                  <c:v>0.11097726517892532</c:v>
                </c:pt>
                <c:pt idx="22">
                  <c:v>0.19438243773931846</c:v>
                </c:pt>
                <c:pt idx="23">
                  <c:v>-4.8548174713442194E-2</c:v>
                </c:pt>
                <c:pt idx="24">
                  <c:v>6.8947929976510586E-2</c:v>
                </c:pt>
                <c:pt idx="25">
                  <c:v>-9.3206563706927467E-2</c:v>
                </c:pt>
                <c:pt idx="26">
                  <c:v>0.19647523150660162</c:v>
                </c:pt>
                <c:pt idx="27">
                  <c:v>-3.8395794139146108E-2</c:v>
                </c:pt>
                <c:pt idx="28">
                  <c:v>4.322746082865097E-2</c:v>
                </c:pt>
                <c:pt idx="29">
                  <c:v>0.23618303941556235</c:v>
                </c:pt>
                <c:pt idx="30">
                  <c:v>4.9601763285024136E-2</c:v>
                </c:pt>
                <c:pt idx="31">
                  <c:v>-9.4965369793982655E-3</c:v>
                </c:pt>
                <c:pt idx="32">
                  <c:v>0.28255991107679995</c:v>
                </c:pt>
                <c:pt idx="33">
                  <c:v>-0.11785154240950835</c:v>
                </c:pt>
                <c:pt idx="34">
                  <c:v>3.3654354206065613E-2</c:v>
                </c:pt>
                <c:pt idx="35">
                  <c:v>-0.49535605404130728</c:v>
                </c:pt>
                <c:pt idx="36">
                  <c:v>-5.4055417384838975E-2</c:v>
                </c:pt>
                <c:pt idx="37">
                  <c:v>-7.9906737135365474E-2</c:v>
                </c:pt>
                <c:pt idx="38">
                  <c:v>-0.29452166777327765</c:v>
                </c:pt>
                <c:pt idx="39">
                  <c:v>-6.5012083138598839E-2</c:v>
                </c:pt>
                <c:pt idx="40">
                  <c:v>-7.366624687942129E-2</c:v>
                </c:pt>
                <c:pt idx="41">
                  <c:v>0.12748699681052075</c:v>
                </c:pt>
                <c:pt idx="42">
                  <c:v>6.8757385143800795E-2</c:v>
                </c:pt>
                <c:pt idx="43">
                  <c:v>9.6196968171777086E-2</c:v>
                </c:pt>
                <c:pt idx="44">
                  <c:v>-2.3681836864125984E-2</c:v>
                </c:pt>
                <c:pt idx="45">
                  <c:v>4.6977766187360437E-2</c:v>
                </c:pt>
                <c:pt idx="46">
                  <c:v>-2.4299039898468638E-2</c:v>
                </c:pt>
                <c:pt idx="47">
                  <c:v>-1.92382144819741E-2</c:v>
                </c:pt>
                <c:pt idx="48">
                  <c:v>-3.5439604559091988E-2</c:v>
                </c:pt>
                <c:pt idx="49">
                  <c:v>8.5956286118572915E-3</c:v>
                </c:pt>
                <c:pt idx="50">
                  <c:v>-1.8961927363625775E-2</c:v>
                </c:pt>
                <c:pt idx="51">
                  <c:v>9.8418055498947138E-2</c:v>
                </c:pt>
                <c:pt idx="52">
                  <c:v>2.7907414343969348E-2</c:v>
                </c:pt>
                <c:pt idx="53">
                  <c:v>-5.2115418708210771E-2</c:v>
                </c:pt>
                <c:pt idx="54">
                  <c:v>-5.9301608505174061E-2</c:v>
                </c:pt>
                <c:pt idx="55">
                  <c:v>7.9672270495827091E-2</c:v>
                </c:pt>
                <c:pt idx="56">
                  <c:v>7.0828755274261537E-2</c:v>
                </c:pt>
                <c:pt idx="57">
                  <c:v>8.0587175922616924E-2</c:v>
                </c:pt>
                <c:pt idx="58">
                  <c:v>-3.8241496963201246E-3</c:v>
                </c:pt>
                <c:pt idx="59">
                  <c:v>0.11457085441633383</c:v>
                </c:pt>
                <c:pt idx="60">
                  <c:v>1.3994116602986282E-2</c:v>
                </c:pt>
                <c:pt idx="61">
                  <c:v>6.5834873656147666E-2</c:v>
                </c:pt>
                <c:pt idx="62">
                  <c:v>6.2969686569624234E-2</c:v>
                </c:pt>
                <c:pt idx="63">
                  <c:v>2.4777944553909935E-2</c:v>
                </c:pt>
                <c:pt idx="64">
                  <c:v>9.1273955731069417E-2</c:v>
                </c:pt>
                <c:pt idx="65">
                  <c:v>7.0409802082554943E-2</c:v>
                </c:pt>
                <c:pt idx="66">
                  <c:v>-9.2491524822695029E-2</c:v>
                </c:pt>
                <c:pt idx="67">
                  <c:v>-9.4067451881895234E-2</c:v>
                </c:pt>
                <c:pt idx="68">
                  <c:v>-0.12422329467494279</c:v>
                </c:pt>
                <c:pt idx="69">
                  <c:v>6.6491962634972479E-2</c:v>
                </c:pt>
                <c:pt idx="70">
                  <c:v>-7.7106639049315542E-2</c:v>
                </c:pt>
                <c:pt idx="71">
                  <c:v>3.5669654102161448E-2</c:v>
                </c:pt>
                <c:pt idx="72">
                  <c:v>-7.8388080610630739E-3</c:v>
                </c:pt>
                <c:pt idx="73">
                  <c:v>5.1248117329406061E-2</c:v>
                </c:pt>
                <c:pt idx="74">
                  <c:v>0.26486187588731963</c:v>
                </c:pt>
                <c:pt idx="75">
                  <c:v>-6.808941151457952E-2</c:v>
                </c:pt>
                <c:pt idx="76">
                  <c:v>-5.5397303444009914E-2</c:v>
                </c:pt>
                <c:pt idx="77">
                  <c:v>-0.19692031285916667</c:v>
                </c:pt>
                <c:pt idx="78">
                  <c:v>1.4004094865100057E-2</c:v>
                </c:pt>
                <c:pt idx="79">
                  <c:v>8.6045308687706878E-2</c:v>
                </c:pt>
                <c:pt idx="80">
                  <c:v>-0.14144293952090203</c:v>
                </c:pt>
                <c:pt idx="81">
                  <c:v>0.1097438054607508</c:v>
                </c:pt>
                <c:pt idx="82">
                  <c:v>0.12172570046299275</c:v>
                </c:pt>
                <c:pt idx="83">
                  <c:v>5.4392934653800427E-2</c:v>
                </c:pt>
                <c:pt idx="84">
                  <c:v>1.0086486489578423E-2</c:v>
                </c:pt>
                <c:pt idx="85">
                  <c:v>7.4449088050314402E-2</c:v>
                </c:pt>
                <c:pt idx="86">
                  <c:v>0.40456752205320556</c:v>
                </c:pt>
                <c:pt idx="87">
                  <c:v>1.9811703984077878E-2</c:v>
                </c:pt>
                <c:pt idx="88">
                  <c:v>-4.8592551120840301E-2</c:v>
                </c:pt>
                <c:pt idx="89">
                  <c:v>7.9615788530466011E-2</c:v>
                </c:pt>
                <c:pt idx="90">
                  <c:v>3.4467504912903207E-2</c:v>
                </c:pt>
                <c:pt idx="91">
                  <c:v>-4.1796618041028966E-2</c:v>
                </c:pt>
                <c:pt idx="92">
                  <c:v>0.21231067275728979</c:v>
                </c:pt>
                <c:pt idx="93">
                  <c:v>-8.7306040452975187E-2</c:v>
                </c:pt>
                <c:pt idx="94">
                  <c:v>6.7880851949189691E-2</c:v>
                </c:pt>
                <c:pt idx="95">
                  <c:v>2.6161957580677804E-2</c:v>
                </c:pt>
                <c:pt idx="96">
                  <c:v>3.6425080442787174E-2</c:v>
                </c:pt>
                <c:pt idx="97">
                  <c:v>6.553344585791019E-3</c:v>
                </c:pt>
                <c:pt idx="98">
                  <c:v>0.13305294291868613</c:v>
                </c:pt>
                <c:pt idx="99">
                  <c:v>5.4581324786324763E-2</c:v>
                </c:pt>
                <c:pt idx="100">
                  <c:v>-6.6563879901764544E-2</c:v>
                </c:pt>
                <c:pt idx="101">
                  <c:v>0.26353421867072563</c:v>
                </c:pt>
                <c:pt idx="102">
                  <c:v>7.7495065845732281E-3</c:v>
                </c:pt>
                <c:pt idx="103">
                  <c:v>6.4406872146118746E-2</c:v>
                </c:pt>
                <c:pt idx="104">
                  <c:v>-6.0525440897828738E-3</c:v>
                </c:pt>
                <c:pt idx="105">
                  <c:v>-0.11165961635955923</c:v>
                </c:pt>
                <c:pt idx="106">
                  <c:v>0.13574857103187818</c:v>
                </c:pt>
                <c:pt idx="107">
                  <c:v>-0.12287707929831429</c:v>
                </c:pt>
                <c:pt idx="108">
                  <c:v>9.0884105377725524E-2</c:v>
                </c:pt>
                <c:pt idx="109">
                  <c:v>1.3556614401858231E-2</c:v>
                </c:pt>
                <c:pt idx="110">
                  <c:v>-0.20060075683394527</c:v>
                </c:pt>
                <c:pt idx="111">
                  <c:v>-7.6107862239520013E-2</c:v>
                </c:pt>
                <c:pt idx="112">
                  <c:v>0.1344022461093683</c:v>
                </c:pt>
                <c:pt idx="113">
                  <c:v>4.6045242107301862E-2</c:v>
                </c:pt>
                <c:pt idx="114">
                  <c:v>-0.10585946695065053</c:v>
                </c:pt>
                <c:pt idx="115">
                  <c:v>2.7603282010905919E-3</c:v>
                </c:pt>
                <c:pt idx="116">
                  <c:v>0.21446912537737534</c:v>
                </c:pt>
                <c:pt idx="117">
                  <c:v>4.9181801271265528E-2</c:v>
                </c:pt>
                <c:pt idx="118">
                  <c:v>0.11784531446540887</c:v>
                </c:pt>
                <c:pt idx="119">
                  <c:v>0.33192277871101405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CE-6C49-8EB4-005CF0274D56}"/>
            </c:ext>
          </c:extLst>
        </c:ser>
        <c:ser>
          <c:idx val="5"/>
          <c:order val="5"/>
          <c:tx>
            <c:v>Booking Hldngs (BKNG)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Securities'!$AB$57:$AB$176</c:f>
              <c:numCache>
                <c:formatCode>0.00%</c:formatCode>
                <c:ptCount val="120"/>
                <c:pt idx="0">
                  <c:v>-8.5097181900222224E-2</c:v>
                </c:pt>
                <c:pt idx="1">
                  <c:v>5.5236647880624865E-2</c:v>
                </c:pt>
                <c:pt idx="2">
                  <c:v>-5.000380927940868E-2</c:v>
                </c:pt>
                <c:pt idx="3">
                  <c:v>-4.8436622061855839E-2</c:v>
                </c:pt>
                <c:pt idx="4">
                  <c:v>0.10888722133119477</c:v>
                </c:pt>
                <c:pt idx="5">
                  <c:v>0.10665083506642738</c:v>
                </c:pt>
                <c:pt idx="6">
                  <c:v>7.3942398166220252E-2</c:v>
                </c:pt>
                <c:pt idx="7">
                  <c:v>4.8741472104606214E-2</c:v>
                </c:pt>
                <c:pt idx="8">
                  <c:v>-6.5759714123438034E-2</c:v>
                </c:pt>
                <c:pt idx="9">
                  <c:v>4.5490490795786084E-2</c:v>
                </c:pt>
                <c:pt idx="10">
                  <c:v>9.0412182739817729E-2</c:v>
                </c:pt>
                <c:pt idx="11">
                  <c:v>-5.2010168123899699E-2</c:v>
                </c:pt>
                <c:pt idx="12">
                  <c:v>4.2312861449922169E-2</c:v>
                </c:pt>
                <c:pt idx="13">
                  <c:v>-1.4554821001082414E-2</c:v>
                </c:pt>
                <c:pt idx="14">
                  <c:v>-1.4744291802218827E-2</c:v>
                </c:pt>
                <c:pt idx="15">
                  <c:v>0.13131785887961098</c:v>
                </c:pt>
                <c:pt idx="16">
                  <c:v>0.11696095687730916</c:v>
                </c:pt>
                <c:pt idx="17">
                  <c:v>-9.8997079421953418E-2</c:v>
                </c:pt>
                <c:pt idx="18">
                  <c:v>-1.0327317658766703E-2</c:v>
                </c:pt>
                <c:pt idx="19">
                  <c:v>4.1644782325748399E-2</c:v>
                </c:pt>
                <c:pt idx="20">
                  <c:v>9.6623498739043093E-2</c:v>
                </c:pt>
                <c:pt idx="21">
                  <c:v>7.28178093182449E-2</c:v>
                </c:pt>
                <c:pt idx="22">
                  <c:v>-6.9628993011479179E-2</c:v>
                </c:pt>
                <c:pt idx="23">
                  <c:v>9.2424961764332927E-3</c:v>
                </c:pt>
                <c:pt idx="24">
                  <c:v>4.7337260961436818E-2</c:v>
                </c:pt>
                <c:pt idx="25">
                  <c:v>3.339523554222646E-2</c:v>
                </c:pt>
                <c:pt idx="26">
                  <c:v>0.20428390476757569</c:v>
                </c:pt>
                <c:pt idx="27">
                  <c:v>-3.4397454735627137E-2</c:v>
                </c:pt>
                <c:pt idx="28">
                  <c:v>0.10877632100905053</c:v>
                </c:pt>
                <c:pt idx="29">
                  <c:v>0.13416165632106261</c:v>
                </c:pt>
                <c:pt idx="30">
                  <c:v>-0.12753809876799885</c:v>
                </c:pt>
                <c:pt idx="31">
                  <c:v>-3.4473038787202551E-2</c:v>
                </c:pt>
                <c:pt idx="32">
                  <c:v>0.1032089894072198</c:v>
                </c:pt>
                <c:pt idx="33">
                  <c:v>-0.22397817002145398</c:v>
                </c:pt>
                <c:pt idx="34">
                  <c:v>1.1504805411910547E-2</c:v>
                </c:pt>
                <c:pt idx="35">
                  <c:v>-6.2360109398397472E-2</c:v>
                </c:pt>
                <c:pt idx="36">
                  <c:v>7.7575718916637809E-2</c:v>
                </c:pt>
                <c:pt idx="37">
                  <c:v>-0.11911853470703916</c:v>
                </c:pt>
                <c:pt idx="38">
                  <c:v>2.0177608864788601E-2</c:v>
                </c:pt>
                <c:pt idx="39">
                  <c:v>0.13794654903220185</c:v>
                </c:pt>
                <c:pt idx="40">
                  <c:v>-0.13528512568951617</c:v>
                </c:pt>
                <c:pt idx="41">
                  <c:v>1.6222647680791413E-2</c:v>
                </c:pt>
                <c:pt idx="42">
                  <c:v>2.872716562956126E-2</c:v>
                </c:pt>
                <c:pt idx="43">
                  <c:v>5.2198814665528073E-2</c:v>
                </c:pt>
                <c:pt idx="44">
                  <c:v>-8.0308359269194857E-3</c:v>
                </c:pt>
                <c:pt idx="45">
                  <c:v>-7.6990091712364067E-2</c:v>
                </c:pt>
                <c:pt idx="46">
                  <c:v>-4.592544161854701E-2</c:v>
                </c:pt>
                <c:pt idx="47">
                  <c:v>5.4937785198411242E-2</c:v>
                </c:pt>
                <c:pt idx="48">
                  <c:v>-2.9671526212041487E-3</c:v>
                </c:pt>
                <c:pt idx="49">
                  <c:v>0.19405158195882402</c:v>
                </c:pt>
                <c:pt idx="50">
                  <c:v>-0.13057277459999614</c:v>
                </c:pt>
                <c:pt idx="51">
                  <c:v>9.4477392960141945E-2</c:v>
                </c:pt>
                <c:pt idx="52">
                  <c:v>0.24666197483307653</c:v>
                </c:pt>
                <c:pt idx="53">
                  <c:v>-5.5085086671187319E-2</c:v>
                </c:pt>
                <c:pt idx="54">
                  <c:v>-0.10810532016889562</c:v>
                </c:pt>
                <c:pt idx="55">
                  <c:v>0.14586032982779121</c:v>
                </c:pt>
                <c:pt idx="56">
                  <c:v>4.0290245990178102E-2</c:v>
                </c:pt>
                <c:pt idx="57">
                  <c:v>-3.225580658606915E-2</c:v>
                </c:pt>
                <c:pt idx="58">
                  <c:v>0.10375142669152206</c:v>
                </c:pt>
                <c:pt idx="59">
                  <c:v>9.6995368685517197E-2</c:v>
                </c:pt>
                <c:pt idx="60">
                  <c:v>-0.21014814898033812</c:v>
                </c:pt>
                <c:pt idx="61">
                  <c:v>-7.7226569109466126E-2</c:v>
                </c:pt>
                <c:pt idx="62">
                  <c:v>-0.11220889859751124</c:v>
                </c:pt>
                <c:pt idx="63">
                  <c:v>7.5084377443282599E-2</c:v>
                </c:pt>
                <c:pt idx="64">
                  <c:v>-7.4185599741959013E-2</c:v>
                </c:pt>
                <c:pt idx="65">
                  <c:v>4.0362390702516932E-2</c:v>
                </c:pt>
                <c:pt idx="66">
                  <c:v>-5.4707889249953883E-3</c:v>
                </c:pt>
                <c:pt idx="67">
                  <c:v>3.8759756891991556E-2</c:v>
                </c:pt>
                <c:pt idx="68">
                  <c:v>2.8093151029580737E-3</c:v>
                </c:pt>
                <c:pt idx="69">
                  <c:v>0.12838254674298502</c:v>
                </c:pt>
                <c:pt idx="70">
                  <c:v>-0.11069254979811212</c:v>
                </c:pt>
                <c:pt idx="71">
                  <c:v>5.9548014959701794E-2</c:v>
                </c:pt>
                <c:pt idx="72">
                  <c:v>2.4669605194927707E-2</c:v>
                </c:pt>
                <c:pt idx="73">
                  <c:v>-7.7615842731470611E-2</c:v>
                </c:pt>
                <c:pt idx="74">
                  <c:v>6.0551726001788105E-2</c:v>
                </c:pt>
                <c:pt idx="75">
                  <c:v>-9.3110610644790745E-2</c:v>
                </c:pt>
                <c:pt idx="76">
                  <c:v>5.6904005697277164E-3</c:v>
                </c:pt>
                <c:pt idx="77">
                  <c:v>-5.8689543010752722E-2</c:v>
                </c:pt>
                <c:pt idx="78">
                  <c:v>1.3089475331574072E-2</c:v>
                </c:pt>
                <c:pt idx="79">
                  <c:v>-4.1577096691509947E-2</c:v>
                </c:pt>
                <c:pt idx="80">
                  <c:v>-2.7342249809660926E-3</c:v>
                </c:pt>
                <c:pt idx="81">
                  <c:v>-4.2340184517825938E-2</c:v>
                </c:pt>
                <c:pt idx="82">
                  <c:v>-3.5255505050505016E-2</c:v>
                </c:pt>
                <c:pt idx="83">
                  <c:v>4.3380753953185129E-2</c:v>
                </c:pt>
                <c:pt idx="84">
                  <c:v>1.9248829161012847E-2</c:v>
                </c:pt>
                <c:pt idx="85">
                  <c:v>6.02622994953061E-2</c:v>
                </c:pt>
                <c:pt idx="86">
                  <c:v>9.6770113269725774E-2</c:v>
                </c:pt>
                <c:pt idx="87">
                  <c:v>-4.6707059701521286E-3</c:v>
                </c:pt>
                <c:pt idx="88">
                  <c:v>-9.3629130211929118E-2</c:v>
                </c:pt>
                <c:pt idx="89">
                  <c:v>4.0780605721297984E-2</c:v>
                </c:pt>
                <c:pt idx="90">
                  <c:v>-1.501731912228413E-2</c:v>
                </c:pt>
                <c:pt idx="91">
                  <c:v>-9.0509001314600324E-2</c:v>
                </c:pt>
                <c:pt idx="92">
                  <c:v>8.0919464498285687E-2</c:v>
                </c:pt>
                <c:pt idx="93">
                  <c:v>-7.038431890141977E-3</c:v>
                </c:pt>
                <c:pt idx="94">
                  <c:v>1.2852002487158098E-2</c:v>
                </c:pt>
                <c:pt idx="95">
                  <c:v>3.4018479421937774E-2</c:v>
                </c:pt>
                <c:pt idx="96">
                  <c:v>2.8849015648471931E-2</c:v>
                </c:pt>
                <c:pt idx="97">
                  <c:v>9.1057033398301498E-2</c:v>
                </c:pt>
                <c:pt idx="98">
                  <c:v>7.0858348930694176E-2</c:v>
                </c:pt>
                <c:pt idx="99">
                  <c:v>-2.8556954316521325E-2</c:v>
                </c:pt>
                <c:pt idx="100">
                  <c:v>1.6438196787475524E-2</c:v>
                </c:pt>
                <c:pt idx="101">
                  <c:v>-1.6762751474129333E-3</c:v>
                </c:pt>
                <c:pt idx="102">
                  <c:v>3.5114056324540781E-2</c:v>
                </c:pt>
                <c:pt idx="103">
                  <c:v>4.5262016086644367E-2</c:v>
                </c:pt>
                <c:pt idx="104">
                  <c:v>7.8486001620728107E-2</c:v>
                </c:pt>
                <c:pt idx="105">
                  <c:v>-1.6129982665390508E-2</c:v>
                </c:pt>
                <c:pt idx="106">
                  <c:v>-6.2578566725709495E-2</c:v>
                </c:pt>
                <c:pt idx="107">
                  <c:v>3.8898980470043067E-2</c:v>
                </c:pt>
                <c:pt idx="108">
                  <c:v>1.5233253992090906E-2</c:v>
                </c:pt>
                <c:pt idx="109">
                  <c:v>0.18448574246222899</c:v>
                </c:pt>
                <c:pt idx="110">
                  <c:v>-0.16823498810410867</c:v>
                </c:pt>
                <c:pt idx="111">
                  <c:v>1.7360893955772755E-2</c:v>
                </c:pt>
                <c:pt idx="112">
                  <c:v>-0.14477361774305944</c:v>
                </c:pt>
                <c:pt idx="113">
                  <c:v>0.17221316643220208</c:v>
                </c:pt>
                <c:pt idx="114">
                  <c:v>-1.2972597813087464E-2</c:v>
                </c:pt>
                <c:pt idx="115">
                  <c:v>5.3863861034507974E-4</c:v>
                </c:pt>
                <c:pt idx="116">
                  <c:v>7.6540181826867171E-2</c:v>
                </c:pt>
                <c:pt idx="117">
                  <c:v>-2.11742501962391E-2</c:v>
                </c:pt>
                <c:pt idx="118">
                  <c:v>-5.6672497704278776E-2</c:v>
                </c:pt>
                <c:pt idx="119">
                  <c:v>5.97352997895459E-2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CE-6C49-8EB4-005CF0274D56}"/>
            </c:ext>
          </c:extLst>
        </c:ser>
        <c:ser>
          <c:idx val="6"/>
          <c:order val="6"/>
          <c:tx>
            <c:v>Home Depot (HD)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Securities'!$AG$57:$AG$176</c:f>
              <c:numCache>
                <c:formatCode>0.00%</c:formatCode>
                <c:ptCount val="120"/>
                <c:pt idx="0">
                  <c:v>-7.9458656076651576E-2</c:v>
                </c:pt>
                <c:pt idx="1">
                  <c:v>-4.087024264931953E-2</c:v>
                </c:pt>
                <c:pt idx="2">
                  <c:v>5.5563443061946778E-2</c:v>
                </c:pt>
                <c:pt idx="3">
                  <c:v>-9.7076422024405945E-2</c:v>
                </c:pt>
                <c:pt idx="4">
                  <c:v>8.6315634920634904E-2</c:v>
                </c:pt>
                <c:pt idx="5">
                  <c:v>-3.1795983876275059E-2</c:v>
                </c:pt>
                <c:pt idx="6">
                  <c:v>9.6054611035730403E-2</c:v>
                </c:pt>
                <c:pt idx="7">
                  <c:v>-2.6148218166015453E-3</c:v>
                </c:pt>
                <c:pt idx="8">
                  <c:v>6.5948071500503566E-2</c:v>
                </c:pt>
                <c:pt idx="9">
                  <c:v>2.4442674221837341E-2</c:v>
                </c:pt>
                <c:pt idx="10">
                  <c:v>-1.5935065725171723E-3</c:v>
                </c:pt>
                <c:pt idx="11">
                  <c:v>-0.13226617483489744</c:v>
                </c:pt>
                <c:pt idx="12">
                  <c:v>4.3174770762723236E-3</c:v>
                </c:pt>
                <c:pt idx="13">
                  <c:v>7.4799155333937842E-2</c:v>
                </c:pt>
                <c:pt idx="14">
                  <c:v>1.4958276102534416E-2</c:v>
                </c:pt>
                <c:pt idx="15">
                  <c:v>0.10191957600986741</c:v>
                </c:pt>
                <c:pt idx="16">
                  <c:v>9.7624334832039569E-2</c:v>
                </c:pt>
                <c:pt idx="17">
                  <c:v>-6.1355383902568256E-2</c:v>
                </c:pt>
                <c:pt idx="18">
                  <c:v>-8.8733610354223391E-2</c:v>
                </c:pt>
                <c:pt idx="19">
                  <c:v>-1.4142215432542427E-2</c:v>
                </c:pt>
                <c:pt idx="20">
                  <c:v>7.1146188943256888E-2</c:v>
                </c:pt>
                <c:pt idx="21">
                  <c:v>9.2386873934262356E-2</c:v>
                </c:pt>
                <c:pt idx="22">
                  <c:v>-6.040264424036744E-2</c:v>
                </c:pt>
                <c:pt idx="23">
                  <c:v>1.4827077347067915E-2</c:v>
                </c:pt>
                <c:pt idx="24">
                  <c:v>-8.3268947415751082E-3</c:v>
                </c:pt>
                <c:pt idx="25">
                  <c:v>-8.877139006282711E-2</c:v>
                </c:pt>
                <c:pt idx="26">
                  <c:v>2.2770790962240661E-2</c:v>
                </c:pt>
                <c:pt idx="27">
                  <c:v>-2.8631700412564159E-2</c:v>
                </c:pt>
                <c:pt idx="28">
                  <c:v>9.0541969236484013E-2</c:v>
                </c:pt>
                <c:pt idx="29">
                  <c:v>6.9629746684061744E-2</c:v>
                </c:pt>
                <c:pt idx="30">
                  <c:v>-4.6808564246584902E-2</c:v>
                </c:pt>
                <c:pt idx="31">
                  <c:v>-4.5141310671008558E-2</c:v>
                </c:pt>
                <c:pt idx="32">
                  <c:v>9.3701612705241855E-2</c:v>
                </c:pt>
                <c:pt idx="33">
                  <c:v>-9.7609349022846195E-2</c:v>
                </c:pt>
                <c:pt idx="34">
                  <c:v>4.2845694629383823E-3</c:v>
                </c:pt>
                <c:pt idx="35">
                  <c:v>3.6316718448958091E-5</c:v>
                </c:pt>
                <c:pt idx="36">
                  <c:v>-5.5781628777084716E-2</c:v>
                </c:pt>
                <c:pt idx="37">
                  <c:v>-0.14291922602503324</c:v>
                </c:pt>
                <c:pt idx="38">
                  <c:v>-0.11927048436583852</c:v>
                </c:pt>
                <c:pt idx="39">
                  <c:v>3.240685026168421E-2</c:v>
                </c:pt>
                <c:pt idx="40">
                  <c:v>7.4123473305715476E-2</c:v>
                </c:pt>
                <c:pt idx="41">
                  <c:v>0.12891764668250782</c:v>
                </c:pt>
                <c:pt idx="42">
                  <c:v>2.8385138062827805E-3</c:v>
                </c:pt>
                <c:pt idx="43">
                  <c:v>-9.6628343845536358E-3</c:v>
                </c:pt>
                <c:pt idx="44">
                  <c:v>2.5625328117323667E-2</c:v>
                </c:pt>
                <c:pt idx="45">
                  <c:v>-3.60104695159566E-3</c:v>
                </c:pt>
                <c:pt idx="46">
                  <c:v>-1.8244670034294159E-2</c:v>
                </c:pt>
                <c:pt idx="47">
                  <c:v>5.6805647010647067E-2</c:v>
                </c:pt>
                <c:pt idx="48">
                  <c:v>0.17804407744316286</c:v>
                </c:pt>
                <c:pt idx="49">
                  <c:v>-4.9620601998867704E-2</c:v>
                </c:pt>
                <c:pt idx="50">
                  <c:v>1.6038505760108381E-2</c:v>
                </c:pt>
                <c:pt idx="51">
                  <c:v>-4.603860369128733E-2</c:v>
                </c:pt>
                <c:pt idx="52">
                  <c:v>3.6580147413545476E-2</c:v>
                </c:pt>
                <c:pt idx="53">
                  <c:v>-4.3147998091534336E-2</c:v>
                </c:pt>
                <c:pt idx="54">
                  <c:v>-2.9254022359435077E-2</c:v>
                </c:pt>
                <c:pt idx="55">
                  <c:v>7.0099091805089997E-2</c:v>
                </c:pt>
                <c:pt idx="56">
                  <c:v>5.6259678722073714E-2</c:v>
                </c:pt>
                <c:pt idx="57">
                  <c:v>4.6313382700150299E-3</c:v>
                </c:pt>
                <c:pt idx="58">
                  <c:v>0.1267896473790352</c:v>
                </c:pt>
                <c:pt idx="59">
                  <c:v>0.17384905887918878</c:v>
                </c:pt>
                <c:pt idx="60">
                  <c:v>-0.14644138144203694</c:v>
                </c:pt>
                <c:pt idx="61">
                  <c:v>-4.8518605143942677E-2</c:v>
                </c:pt>
                <c:pt idx="62">
                  <c:v>4.0971237140153251E-2</c:v>
                </c:pt>
                <c:pt idx="63">
                  <c:v>-1.3197759209710801E-2</c:v>
                </c:pt>
                <c:pt idx="64">
                  <c:v>-6.3517871230852396E-2</c:v>
                </c:pt>
                <c:pt idx="65">
                  <c:v>7.4951982587708049E-3</c:v>
                </c:pt>
                <c:pt idx="66">
                  <c:v>1.4495100917028712E-2</c:v>
                </c:pt>
                <c:pt idx="67">
                  <c:v>6.3006661753006676E-2</c:v>
                </c:pt>
                <c:pt idx="68">
                  <c:v>2.3965633584972185E-2</c:v>
                </c:pt>
                <c:pt idx="69">
                  <c:v>9.1905438065139164E-2</c:v>
                </c:pt>
                <c:pt idx="70">
                  <c:v>-7.1530478645066259E-2</c:v>
                </c:pt>
                <c:pt idx="71">
                  <c:v>5.8007343877568764E-2</c:v>
                </c:pt>
                <c:pt idx="72">
                  <c:v>3.2920562637283504E-2</c:v>
                </c:pt>
                <c:pt idx="73">
                  <c:v>5.2340744474108792E-3</c:v>
                </c:pt>
                <c:pt idx="74">
                  <c:v>6.4614384627323218E-2</c:v>
                </c:pt>
                <c:pt idx="75">
                  <c:v>-5.0676753918958886E-2</c:v>
                </c:pt>
                <c:pt idx="76">
                  <c:v>2.1706151542718505E-2</c:v>
                </c:pt>
                <c:pt idx="77">
                  <c:v>-0.15449174873280236</c:v>
                </c:pt>
                <c:pt idx="78">
                  <c:v>2.8239322690973064E-2</c:v>
                </c:pt>
                <c:pt idx="79">
                  <c:v>1.2915696638315108E-2</c:v>
                </c:pt>
                <c:pt idx="80">
                  <c:v>8.8655621049035516E-3</c:v>
                </c:pt>
                <c:pt idx="81">
                  <c:v>4.2293883230590454E-2</c:v>
                </c:pt>
                <c:pt idx="82">
                  <c:v>5.9313636363636374E-3</c:v>
                </c:pt>
                <c:pt idx="83">
                  <c:v>3.3265975463794145E-2</c:v>
                </c:pt>
                <c:pt idx="84">
                  <c:v>-2.564838984290705E-2</c:v>
                </c:pt>
                <c:pt idx="85">
                  <c:v>-9.627103617056576E-2</c:v>
                </c:pt>
                <c:pt idx="86">
                  <c:v>5.6452169489438812E-2</c:v>
                </c:pt>
                <c:pt idx="87">
                  <c:v>5.0460109553998489E-2</c:v>
                </c:pt>
                <c:pt idx="88">
                  <c:v>8.1152220412594955E-2</c:v>
                </c:pt>
                <c:pt idx="89">
                  <c:v>1.0034667400342376E-2</c:v>
                </c:pt>
                <c:pt idx="90">
                  <c:v>8.780749972198125E-2</c:v>
                </c:pt>
                <c:pt idx="91">
                  <c:v>-1.7335204991086655E-3</c:v>
                </c:pt>
                <c:pt idx="92">
                  <c:v>-2.8310171664493771E-2</c:v>
                </c:pt>
                <c:pt idx="93">
                  <c:v>-4.2548990293790967E-3</c:v>
                </c:pt>
                <c:pt idx="94">
                  <c:v>-2.0130261584454433E-2</c:v>
                </c:pt>
                <c:pt idx="95">
                  <c:v>5.9595903539240262E-2</c:v>
                </c:pt>
                <c:pt idx="96">
                  <c:v>9.7112698686542178E-3</c:v>
                </c:pt>
                <c:pt idx="97">
                  <c:v>4.9739759412705219E-2</c:v>
                </c:pt>
                <c:pt idx="98">
                  <c:v>2.2565485282418453E-2</c:v>
                </c:pt>
                <c:pt idx="99">
                  <c:v>3.2628590932509069E-2</c:v>
                </c:pt>
                <c:pt idx="100">
                  <c:v>5.7030472502253918E-2</c:v>
                </c:pt>
                <c:pt idx="101">
                  <c:v>-5.5372340172002911E-2</c:v>
                </c:pt>
                <c:pt idx="102">
                  <c:v>-4.409902525101897E-2</c:v>
                </c:pt>
                <c:pt idx="103">
                  <c:v>-3.3341574074074107E-2</c:v>
                </c:pt>
                <c:pt idx="104">
                  <c:v>7.9083641762602228E-2</c:v>
                </c:pt>
                <c:pt idx="105">
                  <c:v>-3.7068457462912555E-2</c:v>
                </c:pt>
                <c:pt idx="106">
                  <c:v>-1.6758140637836896E-2</c:v>
                </c:pt>
                <c:pt idx="107">
                  <c:v>-9.0832771241003678E-5</c:v>
                </c:pt>
                <c:pt idx="108">
                  <c:v>7.1469723385970574E-2</c:v>
                </c:pt>
                <c:pt idx="109">
                  <c:v>-1.6579045801526721E-2</c:v>
                </c:pt>
                <c:pt idx="110">
                  <c:v>-5.2612057340894726E-2</c:v>
                </c:pt>
                <c:pt idx="111">
                  <c:v>-1.5713415496464461E-2</c:v>
                </c:pt>
                <c:pt idx="112">
                  <c:v>7.9282760163916707E-2</c:v>
                </c:pt>
                <c:pt idx="113">
                  <c:v>6.7030547089214118E-2</c:v>
                </c:pt>
                <c:pt idx="114">
                  <c:v>-1.1867373347071946E-2</c:v>
                </c:pt>
                <c:pt idx="115">
                  <c:v>-8.4088793471760008E-3</c:v>
                </c:pt>
                <c:pt idx="116">
                  <c:v>4.9552641200995888E-2</c:v>
                </c:pt>
                <c:pt idx="117">
                  <c:v>-6.1410976485371232E-3</c:v>
                </c:pt>
                <c:pt idx="118">
                  <c:v>3.7964751355393511E-2</c:v>
                </c:pt>
                <c:pt idx="119">
                  <c:v>-6.1895872282369466E-2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CE-6C49-8EB4-005CF0274D56}"/>
            </c:ext>
          </c:extLst>
        </c:ser>
        <c:ser>
          <c:idx val="7"/>
          <c:order val="7"/>
          <c:tx>
            <c:v>Starbucks (SBUX)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Securities'!$AL$57:$AL$176</c:f>
              <c:numCache>
                <c:formatCode>0.00%</c:formatCode>
                <c:ptCount val="120"/>
                <c:pt idx="0">
                  <c:v>-0.15654757260455343</c:v>
                </c:pt>
                <c:pt idx="1">
                  <c:v>7.1963152550767656E-2</c:v>
                </c:pt>
                <c:pt idx="2">
                  <c:v>0.17651646118721467</c:v>
                </c:pt>
                <c:pt idx="3">
                  <c:v>-0.11294688301125637</c:v>
                </c:pt>
                <c:pt idx="4">
                  <c:v>4.5182239849880491E-2</c:v>
                </c:pt>
                <c:pt idx="5">
                  <c:v>-1.3842662495297843E-3</c:v>
                </c:pt>
                <c:pt idx="6">
                  <c:v>2.7338266011067657E-2</c:v>
                </c:pt>
                <c:pt idx="7">
                  <c:v>0.20967526512721818</c:v>
                </c:pt>
                <c:pt idx="8">
                  <c:v>-2.2538118175978346E-3</c:v>
                </c:pt>
                <c:pt idx="9">
                  <c:v>-3.3082088007978114E-2</c:v>
                </c:pt>
                <c:pt idx="10">
                  <c:v>-9.6995221117263691E-2</c:v>
                </c:pt>
                <c:pt idx="11">
                  <c:v>-3.5270470328628283E-2</c:v>
                </c:pt>
                <c:pt idx="12">
                  <c:v>-4.0524634703196394E-2</c:v>
                </c:pt>
                <c:pt idx="13">
                  <c:v>1.6562709341072821E-2</c:v>
                </c:pt>
                <c:pt idx="14">
                  <c:v>-3.4576766829844154E-2</c:v>
                </c:pt>
                <c:pt idx="15">
                  <c:v>-3.6670256797582998E-2</c:v>
                </c:pt>
                <c:pt idx="16">
                  <c:v>7.3001128938999738E-2</c:v>
                </c:pt>
                <c:pt idx="17">
                  <c:v>7.0894742704795191E-3</c:v>
                </c:pt>
                <c:pt idx="18">
                  <c:v>-6.6859351395730723E-2</c:v>
                </c:pt>
                <c:pt idx="19">
                  <c:v>-4.4199946014243006E-2</c:v>
                </c:pt>
                <c:pt idx="20">
                  <c:v>2.1799845548152542E-2</c:v>
                </c:pt>
                <c:pt idx="21">
                  <c:v>1.1004886658473321E-2</c:v>
                </c:pt>
                <c:pt idx="22">
                  <c:v>-0.14922037025694873</c:v>
                </c:pt>
                <c:pt idx="23">
                  <c:v>9.4032011428022769E-2</c:v>
                </c:pt>
                <c:pt idx="24">
                  <c:v>1.6444035165050365E-2</c:v>
                </c:pt>
                <c:pt idx="25">
                  <c:v>-6.8134265164009514E-2</c:v>
                </c:pt>
                <c:pt idx="26">
                  <c:v>9.6663279569892444E-2</c:v>
                </c:pt>
                <c:pt idx="27">
                  <c:v>-3.2892540769732546E-2</c:v>
                </c:pt>
                <c:pt idx="28">
                  <c:v>0.17673652519536512</c:v>
                </c:pt>
                <c:pt idx="29">
                  <c:v>2.4114170820476281E-2</c:v>
                </c:pt>
                <c:pt idx="30">
                  <c:v>-1.2783119226040364E-3</c:v>
                </c:pt>
                <c:pt idx="31">
                  <c:v>-1.1912949988204859E-2</c:v>
                </c:pt>
                <c:pt idx="32">
                  <c:v>0.1062927963956888</c:v>
                </c:pt>
                <c:pt idx="33">
                  <c:v>-3.0417314225053071E-2</c:v>
                </c:pt>
                <c:pt idx="34">
                  <c:v>4.817656484458735E-2</c:v>
                </c:pt>
                <c:pt idx="35">
                  <c:v>-0.18304806181525043</c:v>
                </c:pt>
                <c:pt idx="36">
                  <c:v>-1.2471768348040898E-2</c:v>
                </c:pt>
                <c:pt idx="37">
                  <c:v>-6.9954118524545583E-2</c:v>
                </c:pt>
                <c:pt idx="38">
                  <c:v>-0.1629809254509704</c:v>
                </c:pt>
                <c:pt idx="39">
                  <c:v>6.3316829016174123E-2</c:v>
                </c:pt>
                <c:pt idx="40">
                  <c:v>3.0118685616416899E-2</c:v>
                </c:pt>
                <c:pt idx="41">
                  <c:v>-4.1975465053032443E-2</c:v>
                </c:pt>
                <c:pt idx="42">
                  <c:v>-6.4649917297926005E-2</c:v>
                </c:pt>
                <c:pt idx="43">
                  <c:v>-3.5985010431249922E-2</c:v>
                </c:pt>
                <c:pt idx="44">
                  <c:v>8.2500482514980808E-2</c:v>
                </c:pt>
                <c:pt idx="45">
                  <c:v>-2.1715361784334329E-2</c:v>
                </c:pt>
                <c:pt idx="46">
                  <c:v>-8.8663095757999192E-3</c:v>
                </c:pt>
                <c:pt idx="47">
                  <c:v>4.4233241664378753E-2</c:v>
                </c:pt>
                <c:pt idx="48">
                  <c:v>7.93995973340734E-3</c:v>
                </c:pt>
                <c:pt idx="49">
                  <c:v>0.11235878473298211</c:v>
                </c:pt>
                <c:pt idx="50">
                  <c:v>-9.8602831370349614E-2</c:v>
                </c:pt>
                <c:pt idx="51">
                  <c:v>8.7871583010270093E-2</c:v>
                </c:pt>
                <c:pt idx="52">
                  <c:v>0.12364657927016257</c:v>
                </c:pt>
                <c:pt idx="53">
                  <c:v>8.5659497206702993E-3</c:v>
                </c:pt>
                <c:pt idx="54">
                  <c:v>1.3627524367625621E-2</c:v>
                </c:pt>
                <c:pt idx="55">
                  <c:v>0.10021183000130664</c:v>
                </c:pt>
                <c:pt idx="56">
                  <c:v>3.6412746976491342E-2</c:v>
                </c:pt>
                <c:pt idx="57">
                  <c:v>-5.9955822755053956E-2</c:v>
                </c:pt>
                <c:pt idx="58">
                  <c:v>1.2882883921977379E-2</c:v>
                </c:pt>
                <c:pt idx="59">
                  <c:v>0.16363538130007113</c:v>
                </c:pt>
                <c:pt idx="60">
                  <c:v>-0.16533866483913484</c:v>
                </c:pt>
                <c:pt idx="61">
                  <c:v>-7.8983340995716828E-2</c:v>
                </c:pt>
                <c:pt idx="62">
                  <c:v>-3.868392023051262E-2</c:v>
                </c:pt>
                <c:pt idx="63">
                  <c:v>2.5608336454797237E-2</c:v>
                </c:pt>
                <c:pt idx="64">
                  <c:v>6.7502191737622737E-3</c:v>
                </c:pt>
                <c:pt idx="65">
                  <c:v>-4.7193614943828684E-2</c:v>
                </c:pt>
                <c:pt idx="66">
                  <c:v>-8.7838250483291913E-2</c:v>
                </c:pt>
                <c:pt idx="67">
                  <c:v>1.6210320167564379E-2</c:v>
                </c:pt>
                <c:pt idx="68">
                  <c:v>0.12600956121515766</c:v>
                </c:pt>
                <c:pt idx="69">
                  <c:v>9.8617859146287956E-2</c:v>
                </c:pt>
                <c:pt idx="70">
                  <c:v>-2.4393122210779324E-2</c:v>
                </c:pt>
                <c:pt idx="71">
                  <c:v>4.1390372612321813E-2</c:v>
                </c:pt>
                <c:pt idx="72">
                  <c:v>5.4531692285795588E-2</c:v>
                </c:pt>
                <c:pt idx="73">
                  <c:v>2.7574082281577209E-2</c:v>
                </c:pt>
                <c:pt idx="74">
                  <c:v>5.4536200828157265E-2</c:v>
                </c:pt>
                <c:pt idx="75">
                  <c:v>-3.8310515587529875E-2</c:v>
                </c:pt>
                <c:pt idx="76">
                  <c:v>0.14147625393284127</c:v>
                </c:pt>
                <c:pt idx="77">
                  <c:v>2.1620005864414725E-2</c:v>
                </c:pt>
                <c:pt idx="78">
                  <c:v>5.988542719052075E-2</c:v>
                </c:pt>
                <c:pt idx="79">
                  <c:v>1.669453553477131E-2</c:v>
                </c:pt>
                <c:pt idx="80">
                  <c:v>6.8928401569430198E-2</c:v>
                </c:pt>
                <c:pt idx="81">
                  <c:v>-0.14153021616375508</c:v>
                </c:pt>
                <c:pt idx="82">
                  <c:v>-1.9171475594927889E-2</c:v>
                </c:pt>
                <c:pt idx="83">
                  <c:v>-9.0660583290148034E-3</c:v>
                </c:pt>
                <c:pt idx="84">
                  <c:v>1.0297043199065952E-2</c:v>
                </c:pt>
                <c:pt idx="85">
                  <c:v>1.566401748518438E-3</c:v>
                </c:pt>
                <c:pt idx="86">
                  <c:v>-1.4334084682802208E-2</c:v>
                </c:pt>
                <c:pt idx="87">
                  <c:v>-1.0283404243053162E-2</c:v>
                </c:pt>
                <c:pt idx="88">
                  <c:v>5.0801564551422262E-2</c:v>
                </c:pt>
                <c:pt idx="89">
                  <c:v>1.7500579345869842E-2</c:v>
                </c:pt>
                <c:pt idx="90">
                  <c:v>-2.4500783205735788E-2</c:v>
                </c:pt>
                <c:pt idx="91">
                  <c:v>1.2764000864517773E-2</c:v>
                </c:pt>
                <c:pt idx="92">
                  <c:v>-7.779660807180025E-2</c:v>
                </c:pt>
                <c:pt idx="93">
                  <c:v>-8.6858566001152826E-2</c:v>
                </c:pt>
                <c:pt idx="94">
                  <c:v>5.5569225774225725E-2</c:v>
                </c:pt>
                <c:pt idx="95">
                  <c:v>2.5062454472797882E-2</c:v>
                </c:pt>
                <c:pt idx="96">
                  <c:v>2.3189291073207958E-2</c:v>
                </c:pt>
                <c:pt idx="97">
                  <c:v>2.6342144754316042E-2</c:v>
                </c:pt>
                <c:pt idx="98">
                  <c:v>-8.9417915465898942E-3</c:v>
                </c:pt>
                <c:pt idx="99">
                  <c:v>-4.5801572940026375E-2</c:v>
                </c:pt>
                <c:pt idx="100">
                  <c:v>8.8792550405125278E-2</c:v>
                </c:pt>
                <c:pt idx="101">
                  <c:v>-2.3301909247629607E-2</c:v>
                </c:pt>
                <c:pt idx="102">
                  <c:v>-4.0707104451953219E-2</c:v>
                </c:pt>
                <c:pt idx="103">
                  <c:v>-3.4890615848406553E-2</c:v>
                </c:pt>
                <c:pt idx="104">
                  <c:v>1.2743179271708678E-2</c:v>
                </c:pt>
                <c:pt idx="105">
                  <c:v>3.7088374628043909E-2</c:v>
                </c:pt>
                <c:pt idx="106">
                  <c:v>-2.7369028691682906E-2</c:v>
                </c:pt>
                <c:pt idx="107">
                  <c:v>-6.1662286432160901E-2</c:v>
                </c:pt>
                <c:pt idx="108">
                  <c:v>2.2058643131191696E-2</c:v>
                </c:pt>
                <c:pt idx="109">
                  <c:v>-4.5664382370687324E-2</c:v>
                </c:pt>
                <c:pt idx="110">
                  <c:v>8.7888364151258048E-3</c:v>
                </c:pt>
                <c:pt idx="111">
                  <c:v>-2.5691778519845786E-2</c:v>
                </c:pt>
                <c:pt idx="112">
                  <c:v>-2.2397211389909962E-2</c:v>
                </c:pt>
                <c:pt idx="113">
                  <c:v>9.727095589960115E-2</c:v>
                </c:pt>
                <c:pt idx="114">
                  <c:v>3.5394220130384499E-2</c:v>
                </c:pt>
                <c:pt idx="115">
                  <c:v>-5.9122659243915049E-2</c:v>
                </c:pt>
                <c:pt idx="116">
                  <c:v>7.6842121720751E-2</c:v>
                </c:pt>
                <c:pt idx="117">
                  <c:v>2.8409318706697394E-2</c:v>
                </c:pt>
                <c:pt idx="118">
                  <c:v>4.446489377437144E-2</c:v>
                </c:pt>
                <c:pt idx="119">
                  <c:v>4.3557759591693002E-2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CE-6C49-8EB4-005CF0274D56}"/>
            </c:ext>
          </c:extLst>
        </c:ser>
        <c:ser>
          <c:idx val="8"/>
          <c:order val="8"/>
          <c:tx>
            <c:v>Walmart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Securities'!$AQ$57:$AQ$176</c:f>
              <c:numCache>
                <c:formatCode>0.00%</c:formatCode>
                <c:ptCount val="120"/>
                <c:pt idx="0">
                  <c:v>-0.11326351333536146</c:v>
                </c:pt>
                <c:pt idx="1">
                  <c:v>1.0460187449063047E-3</c:v>
                </c:pt>
                <c:pt idx="2">
                  <c:v>8.2903282604685505E-2</c:v>
                </c:pt>
                <c:pt idx="3">
                  <c:v>-2.6781576576576639E-2</c:v>
                </c:pt>
                <c:pt idx="4">
                  <c:v>0.12519870144396986</c:v>
                </c:pt>
                <c:pt idx="5">
                  <c:v>1.1322347781217787E-2</c:v>
                </c:pt>
                <c:pt idx="6">
                  <c:v>4.203980987526431E-2</c:v>
                </c:pt>
                <c:pt idx="7">
                  <c:v>0.12160735431235437</c:v>
                </c:pt>
                <c:pt idx="8">
                  <c:v>1.0196713188598537E-2</c:v>
                </c:pt>
                <c:pt idx="9">
                  <c:v>2.6114951338199337E-2</c:v>
                </c:pt>
                <c:pt idx="10">
                  <c:v>0.10446503650659933</c:v>
                </c:pt>
                <c:pt idx="11">
                  <c:v>-1.7166387180765613E-2</c:v>
                </c:pt>
                <c:pt idx="12">
                  <c:v>2.3078284991184705E-2</c:v>
                </c:pt>
                <c:pt idx="13">
                  <c:v>6.055026506899059E-2</c:v>
                </c:pt>
                <c:pt idx="14">
                  <c:v>4.4606290834126254E-2</c:v>
                </c:pt>
                <c:pt idx="15">
                  <c:v>8.9857514450866795E-3</c:v>
                </c:pt>
                <c:pt idx="16">
                  <c:v>-5.0720268343430637E-2</c:v>
                </c:pt>
                <c:pt idx="17">
                  <c:v>1.8221186456574685E-2</c:v>
                </c:pt>
                <c:pt idx="18">
                  <c:v>-1.9958997539975411E-2</c:v>
                </c:pt>
                <c:pt idx="19">
                  <c:v>1.3538041220992126E-2</c:v>
                </c:pt>
                <c:pt idx="20">
                  <c:v>1.3640517592415828E-2</c:v>
                </c:pt>
                <c:pt idx="21">
                  <c:v>6.6518856209150309E-2</c:v>
                </c:pt>
                <c:pt idx="22">
                  <c:v>-3.0565360360360349E-2</c:v>
                </c:pt>
                <c:pt idx="23">
                  <c:v>2.0266346219057343E-2</c:v>
                </c:pt>
                <c:pt idx="24">
                  <c:v>3.3819201491487184E-2</c:v>
                </c:pt>
                <c:pt idx="25">
                  <c:v>-1.5631744509313282E-2</c:v>
                </c:pt>
                <c:pt idx="26">
                  <c:v>1.1273346734377266E-2</c:v>
                </c:pt>
                <c:pt idx="27">
                  <c:v>-7.3406469526996088E-2</c:v>
                </c:pt>
                <c:pt idx="28">
                  <c:v>6.749876616076457E-2</c:v>
                </c:pt>
                <c:pt idx="29">
                  <c:v>9.3847741151977818E-2</c:v>
                </c:pt>
                <c:pt idx="30">
                  <c:v>-2.5041275841255536E-2</c:v>
                </c:pt>
                <c:pt idx="31">
                  <c:v>9.6378161441691441E-5</c:v>
                </c:pt>
                <c:pt idx="32">
                  <c:v>8.2570721687638834E-2</c:v>
                </c:pt>
                <c:pt idx="33">
                  <c:v>-5.8342437810945301E-2</c:v>
                </c:pt>
                <c:pt idx="34">
                  <c:v>-0.16275401960784308</c:v>
                </c:pt>
                <c:pt idx="35">
                  <c:v>2.3858926940639257E-2</c:v>
                </c:pt>
                <c:pt idx="36">
                  <c:v>9.8348459119496939E-2</c:v>
                </c:pt>
                <c:pt idx="37">
                  <c:v>-3.6800135908440716E-2</c:v>
                </c:pt>
                <c:pt idx="38">
                  <c:v>-3.733472562029156E-2</c:v>
                </c:pt>
                <c:pt idx="39">
                  <c:v>2.5258594994311594E-2</c:v>
                </c:pt>
                <c:pt idx="40">
                  <c:v>-6.2361862745098029E-2</c:v>
                </c:pt>
                <c:pt idx="41">
                  <c:v>6.8566703257282272E-2</c:v>
                </c:pt>
                <c:pt idx="42">
                  <c:v>-6.2481011072851193E-2</c:v>
                </c:pt>
                <c:pt idx="43">
                  <c:v>3.5392643097642978E-2</c:v>
                </c:pt>
                <c:pt idx="44">
                  <c:v>7.3104222505850913E-3</c:v>
                </c:pt>
                <c:pt idx="45">
                  <c:v>-1.0509182509505817E-2</c:v>
                </c:pt>
                <c:pt idx="46">
                  <c:v>1.1470242995997774E-2</c:v>
                </c:pt>
                <c:pt idx="47">
                  <c:v>2.649700235571259E-2</c:v>
                </c:pt>
                <c:pt idx="48">
                  <c:v>4.194769760640342E-2</c:v>
                </c:pt>
                <c:pt idx="49">
                  <c:v>-7.8703825539184202E-2</c:v>
                </c:pt>
                <c:pt idx="50">
                  <c:v>-2.892855185570584E-2</c:v>
                </c:pt>
                <c:pt idx="51">
                  <c:v>-6.0086536749787339E-2</c:v>
                </c:pt>
                <c:pt idx="52">
                  <c:v>9.7650855855855839E-2</c:v>
                </c:pt>
                <c:pt idx="53">
                  <c:v>-1.1900254431103499E-2</c:v>
                </c:pt>
                <c:pt idx="54">
                  <c:v>4.2404047824834215E-3</c:v>
                </c:pt>
                <c:pt idx="55">
                  <c:v>6.9496677100239546E-2</c:v>
                </c:pt>
                <c:pt idx="56">
                  <c:v>7.6601912096168359E-2</c:v>
                </c:pt>
                <c:pt idx="57">
                  <c:v>-3.7879324869004471E-2</c:v>
                </c:pt>
                <c:pt idx="58">
                  <c:v>1.6945378413951915E-2</c:v>
                </c:pt>
                <c:pt idx="59">
                  <c:v>6.6437901153067663E-2</c:v>
                </c:pt>
                <c:pt idx="60">
                  <c:v>5.1630237299154738E-2</c:v>
                </c:pt>
                <c:pt idx="61">
                  <c:v>-6.3024706498951685E-2</c:v>
                </c:pt>
                <c:pt idx="62">
                  <c:v>-4.0145250778423028E-2</c:v>
                </c:pt>
                <c:pt idx="63">
                  <c:v>-5.8053358522251065E-3</c:v>
                </c:pt>
                <c:pt idx="64">
                  <c:v>1.2066680736761305E-2</c:v>
                </c:pt>
                <c:pt idx="65">
                  <c:v>-1.5419020896528449E-2</c:v>
                </c:pt>
                <c:pt idx="66">
                  <c:v>3.5054473177561885E-2</c:v>
                </c:pt>
                <c:pt idx="67">
                  <c:v>3.1797355712603184E-2</c:v>
                </c:pt>
                <c:pt idx="68">
                  <c:v>-4.6244044709928267E-3</c:v>
                </c:pt>
                <c:pt idx="69">
                  <c:v>8.5784352262644054E-2</c:v>
                </c:pt>
                <c:pt idx="70">
                  <c:v>-1.7248951769739368E-2</c:v>
                </c:pt>
                <c:pt idx="71">
                  <c:v>5.0906452886291496E-2</c:v>
                </c:pt>
                <c:pt idx="72">
                  <c:v>-1.8386818181818244E-2</c:v>
                </c:pt>
                <c:pt idx="73">
                  <c:v>2.9648892715508201E-2</c:v>
                </c:pt>
                <c:pt idx="74">
                  <c:v>2.5125112721417087E-2</c:v>
                </c:pt>
                <c:pt idx="75">
                  <c:v>-4.9621282642088989E-2</c:v>
                </c:pt>
                <c:pt idx="76">
                  <c:v>-2.9861994715325635E-2</c:v>
                </c:pt>
                <c:pt idx="77">
                  <c:v>6.4512784877529247E-2</c:v>
                </c:pt>
                <c:pt idx="78">
                  <c:v>-2.3882621283255044E-2</c:v>
                </c:pt>
                <c:pt idx="79">
                  <c:v>7.0772359336471677E-2</c:v>
                </c:pt>
                <c:pt idx="80">
                  <c:v>3.8142927612375872E-2</c:v>
                </c:pt>
                <c:pt idx="81">
                  <c:v>3.426610141766627E-2</c:v>
                </c:pt>
                <c:pt idx="82">
                  <c:v>-7.0679737199050421E-2</c:v>
                </c:pt>
                <c:pt idx="83">
                  <c:v>-9.2699584176219943E-3</c:v>
                </c:pt>
                <c:pt idx="84">
                  <c:v>-1.4871666666666662E-2</c:v>
                </c:pt>
                <c:pt idx="85">
                  <c:v>-0.15918145182474908</c:v>
                </c:pt>
                <c:pt idx="86">
                  <c:v>7.5744777237748057E-2</c:v>
                </c:pt>
                <c:pt idx="87">
                  <c:v>1.2197550653090769E-2</c:v>
                </c:pt>
                <c:pt idx="88">
                  <c:v>0.11020737113402045</c:v>
                </c:pt>
                <c:pt idx="89">
                  <c:v>0.11354420025591813</c:v>
                </c:pt>
                <c:pt idx="90">
                  <c:v>-2.3853740712272168E-3</c:v>
                </c:pt>
                <c:pt idx="91">
                  <c:v>-2.754433483370845E-2</c:v>
                </c:pt>
                <c:pt idx="92">
                  <c:v>5.3140223939754254E-2</c:v>
                </c:pt>
                <c:pt idx="93">
                  <c:v>-4.0561234096692066E-2</c:v>
                </c:pt>
                <c:pt idx="94">
                  <c:v>4.1952488693801568E-2</c:v>
                </c:pt>
                <c:pt idx="95">
                  <c:v>3.93247544735746E-2</c:v>
                </c:pt>
                <c:pt idx="96">
                  <c:v>1.2959128595600703E-2</c:v>
                </c:pt>
                <c:pt idx="97">
                  <c:v>5.8933576779026248E-2</c:v>
                </c:pt>
                <c:pt idx="98">
                  <c:v>-3.7826527777777737E-2</c:v>
                </c:pt>
                <c:pt idx="99">
                  <c:v>-2.2277685973878532E-2</c:v>
                </c:pt>
                <c:pt idx="100">
                  <c:v>2.4599528706084222E-3</c:v>
                </c:pt>
                <c:pt idx="101">
                  <c:v>-3.2656469772601192E-2</c:v>
                </c:pt>
                <c:pt idx="102">
                  <c:v>6.1214734705306081E-3</c:v>
                </c:pt>
                <c:pt idx="103">
                  <c:v>-2.4508728070175505E-2</c:v>
                </c:pt>
                <c:pt idx="104">
                  <c:v>-4.3600260202684019E-3</c:v>
                </c:pt>
                <c:pt idx="105">
                  <c:v>2.8254799350007066E-2</c:v>
                </c:pt>
                <c:pt idx="106">
                  <c:v>5.4783784208165133E-2</c:v>
                </c:pt>
                <c:pt idx="107">
                  <c:v>-2.7191421375383232E-2</c:v>
                </c:pt>
                <c:pt idx="108">
                  <c:v>2.9026117141564851E-2</c:v>
                </c:pt>
                <c:pt idx="109">
                  <c:v>-3.9904128993370203E-3</c:v>
                </c:pt>
                <c:pt idx="110">
                  <c:v>7.9183154674498352E-2</c:v>
                </c:pt>
                <c:pt idx="111">
                  <c:v>3.8277066972633028E-2</c:v>
                </c:pt>
                <c:pt idx="112">
                  <c:v>2.4239444444444504E-2</c:v>
                </c:pt>
                <c:pt idx="113">
                  <c:v>-0.12061376137590628</c:v>
                </c:pt>
                <c:pt idx="114">
                  <c:v>-2.1481572443620106E-3</c:v>
                </c:pt>
                <c:pt idx="115">
                  <c:v>-0.10399685771849383</c:v>
                </c:pt>
                <c:pt idx="116">
                  <c:v>1.1267081218274022E-2</c:v>
                </c:pt>
                <c:pt idx="117">
                  <c:v>-4.8772582121701706E-2</c:v>
                </c:pt>
                <c:pt idx="118">
                  <c:v>-5.1962622341788292E-2</c:v>
                </c:pt>
                <c:pt idx="119">
                  <c:v>-5.459595550692932E-2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CE-6C49-8EB4-005CF0274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329487"/>
        <c:axId val="1234450159"/>
      </c:lineChart>
      <c:catAx>
        <c:axId val="1291329487"/>
        <c:scaling>
          <c:orientation val="maxMin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34450159"/>
        <c:crosses val="autoZero"/>
        <c:auto val="0"/>
        <c:lblAlgn val="ctr"/>
        <c:lblOffset val="100"/>
        <c:noMultiLvlLbl val="0"/>
      </c:catAx>
      <c:valAx>
        <c:axId val="123445015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913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7" Type="http://schemas.openxmlformats.org/officeDocument/2006/relationships/chart" Target="../charts/chart5.xml"/><Relationship Id="rId16" Type="http://schemas.openxmlformats.org/officeDocument/2006/relationships/chart" Target="../charts/chart4.xml"/><Relationship Id="rId1" Type="http://schemas.openxmlformats.org/officeDocument/2006/relationships/customXml" Target="../ink/ink1.xml"/><Relationship Id="rId15" Type="http://schemas.openxmlformats.org/officeDocument/2006/relationships/image" Target="../media/image23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474256</xdr:colOff>
      <xdr:row>9</xdr:row>
      <xdr:rowOff>94359</xdr:rowOff>
    </xdr:from>
    <xdr:to>
      <xdr:col>5</xdr:col>
      <xdr:colOff>704496</xdr:colOff>
      <xdr:row>11</xdr:row>
      <xdr:rowOff>198594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15802A-C0F4-9B4E-853F-C2CB4F1F7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2389" y="2075559"/>
          <a:ext cx="1209350" cy="510635"/>
        </a:xfrm>
        <a:prstGeom prst="rect">
          <a:avLst/>
        </a:prstGeom>
      </xdr:spPr>
    </xdr:pic>
    <xdr:clientData/>
  </xdr:twoCellAnchor>
  <xdr:twoCellAnchor>
    <xdr:from>
      <xdr:col>6</xdr:col>
      <xdr:colOff>138546</xdr:colOff>
      <xdr:row>9</xdr:row>
      <xdr:rowOff>11546</xdr:rowOff>
    </xdr:from>
    <xdr:to>
      <xdr:col>10</xdr:col>
      <xdr:colOff>258841</xdr:colOff>
      <xdr:row>20</xdr:row>
      <xdr:rowOff>204998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9445C-1360-C157-7896-E6545AA11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88900</xdr:colOff>
      <xdr:row>19</xdr:row>
      <xdr:rowOff>50800</xdr:rowOff>
    </xdr:from>
    <xdr:to>
      <xdr:col>4</xdr:col>
      <xdr:colOff>447393</xdr:colOff>
      <xdr:row>20</xdr:row>
      <xdr:rowOff>161007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AB8B74-02B3-554E-B598-1F965802A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4089400"/>
          <a:ext cx="4105597" cy="326107"/>
        </a:xfrm>
        <a:prstGeom prst="rect">
          <a:avLst/>
        </a:prstGeom>
      </xdr:spPr>
    </xdr:pic>
    <xdr:clientData/>
  </xdr:twoCellAnchor>
  <xdr:twoCellAnchor>
    <xdr:from>
      <xdr:col>6</xdr:col>
      <xdr:colOff>139700</xdr:colOff>
      <xdr:row>21</xdr:row>
      <xdr:rowOff>80818</xdr:rowOff>
    </xdr:from>
    <xdr:to>
      <xdr:col>10</xdr:col>
      <xdr:colOff>266701</xdr:colOff>
      <xdr:row>33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0E061-ACF1-AF9A-173E-A8F940752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336550</xdr:colOff>
      <xdr:row>9</xdr:row>
      <xdr:rowOff>23091</xdr:rowOff>
    </xdr:from>
    <xdr:to>
      <xdr:col>15</xdr:col>
      <xdr:colOff>646546</xdr:colOff>
      <xdr:row>33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9945C1-AF7B-B6DC-3750-37CA3095F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6</xdr:col>
      <xdr:colOff>11914</xdr:colOff>
      <xdr:row>73</xdr:row>
      <xdr:rowOff>96767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FC99F-5DB9-9461-7449-10565562F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779" y="7473894"/>
          <a:ext cx="5867400" cy="7581900"/>
        </a:xfrm>
        <a:prstGeom prst="rect">
          <a:avLst/>
        </a:prstGeom>
      </xdr:spPr>
    </xdr:pic>
    <xdr:clientData/>
  </xdr:twoCellAnchor>
  <xdr:twoCellAnchor editAs="oneCell">
    <xdr:from>
      <xdr:col>6</xdr:col>
      <xdr:colOff>123629</xdr:colOff>
      <xdr:row>35</xdr:row>
      <xdr:rowOff>191062</xdr:rowOff>
    </xdr:from>
    <xdr:to>
      <xdr:col>12</xdr:col>
      <xdr:colOff>361782</xdr:colOff>
      <xdr:row>73</xdr:row>
      <xdr:rowOff>72828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E09566-344B-EA08-0590-0482E5715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03894" y="7462655"/>
          <a:ext cx="5880100" cy="756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269723</xdr:colOff>
      <xdr:row>30</xdr:row>
      <xdr:rowOff>193523</xdr:rowOff>
    </xdr:from>
    <xdr:to>
      <xdr:col>7</xdr:col>
      <xdr:colOff>125790</xdr:colOff>
      <xdr:row>32</xdr:row>
      <xdr:rowOff>32658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6B0339E-4E3B-1444-A453-718EEFAA1CEA}"/>
            </a:ext>
          </a:extLst>
        </xdr:cNvPr>
        <xdr:cNvSpPr/>
      </xdr:nvSpPr>
      <xdr:spPr bwMode="auto">
        <a:xfrm>
          <a:off x="7407123" y="9464523"/>
          <a:ext cx="2726267" cy="2455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966291</xdr:colOff>
      <xdr:row>34</xdr:row>
      <xdr:rowOff>184137</xdr:rowOff>
    </xdr:from>
    <xdr:to>
      <xdr:col>3</xdr:col>
      <xdr:colOff>966651</xdr:colOff>
      <xdr:row>34</xdr:row>
      <xdr:rowOff>187377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5F1D512-692C-D347-94B6-EB3BFAA742E8}"/>
                </a:ext>
              </a:extLst>
            </xdr14:cNvPr>
            <xdr14:cNvContentPartPr/>
          </xdr14:nvContentPartPr>
          <xdr14:nvPr macro=""/>
          <xdr14:xfrm>
            <a:off x="4628880" y="8711280"/>
            <a:ext cx="360" cy="32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A699F80-900F-BFD6-CBC5-E8D9A133FD9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620240" y="8702640"/>
              <a:ext cx="180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385680</xdr:colOff>
      <xdr:row>27</xdr:row>
      <xdr:rowOff>26827</xdr:rowOff>
    </xdr:from>
    <xdr:to>
      <xdr:col>5</xdr:col>
      <xdr:colOff>1899920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60F30D-89CD-FFCA-59A3-B3D44A23F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1693</xdr:colOff>
      <xdr:row>5</xdr:row>
      <xdr:rowOff>25401</xdr:rowOff>
    </xdr:from>
    <xdr:to>
      <xdr:col>12</xdr:col>
      <xdr:colOff>12211</xdr:colOff>
      <xdr:row>22</xdr:row>
      <xdr:rowOff>183065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DDF9CB-843C-3D4D-AC17-3F658F667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270055</xdr:colOff>
      <xdr:row>56</xdr:row>
      <xdr:rowOff>34504</xdr:rowOff>
    </xdr:from>
    <xdr:to>
      <xdr:col>7</xdr:col>
      <xdr:colOff>201302</xdr:colOff>
      <xdr:row>58</xdr:row>
      <xdr:rowOff>215815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B0C4EE-E423-5442-B412-20A32DBF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1755" y="10042104"/>
          <a:ext cx="2039447" cy="651212"/>
        </a:xfrm>
        <a:prstGeom prst="rect">
          <a:avLst/>
        </a:prstGeom>
      </xdr:spPr>
    </xdr:pic>
    <xdr:clientData/>
  </xdr:twoCellAnchor>
  <xdr:twoCellAnchor>
    <xdr:from>
      <xdr:col>5</xdr:col>
      <xdr:colOff>98754</xdr:colOff>
      <xdr:row>63</xdr:row>
      <xdr:rowOff>127000</xdr:rowOff>
    </xdr:from>
    <xdr:to>
      <xdr:col>9</xdr:col>
      <xdr:colOff>1019504</xdr:colOff>
      <xdr:row>78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18529-F806-CA12-860B-F919F1A77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682236</xdr:colOff>
      <xdr:row>0</xdr:row>
      <xdr:rowOff>294618</xdr:rowOff>
    </xdr:from>
    <xdr:to>
      <xdr:col>24</xdr:col>
      <xdr:colOff>183065</xdr:colOff>
      <xdr:row>2</xdr:row>
      <xdr:rowOff>87284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CBE2D4-980F-CA49-86D4-0765AD34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30872" y="294618"/>
          <a:ext cx="5562194" cy="600848"/>
        </a:xfrm>
        <a:prstGeom prst="rect">
          <a:avLst/>
        </a:prstGeom>
      </xdr:spPr>
    </xdr:pic>
    <xdr:clientData/>
  </xdr:twoCellAnchor>
  <xdr:twoCellAnchor editAs="oneCell">
    <xdr:from>
      <xdr:col>24</xdr:col>
      <xdr:colOff>347617</xdr:colOff>
      <xdr:row>1</xdr:row>
      <xdr:rowOff>53587</xdr:rowOff>
    </xdr:from>
    <xdr:to>
      <xdr:col>28</xdr:col>
      <xdr:colOff>765712</xdr:colOff>
      <xdr:row>2</xdr:row>
      <xdr:rowOff>33398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41784-C396-6E48-9B6C-6EDAD816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18093" y="250135"/>
          <a:ext cx="4470000" cy="403144"/>
        </a:xfrm>
        <a:prstGeom prst="rect">
          <a:avLst/>
        </a:prstGeom>
      </xdr:spPr>
    </xdr:pic>
    <xdr:clientData/>
  </xdr:twoCellAnchor>
  <xdr:twoCellAnchor>
    <xdr:from>
      <xdr:col>50</xdr:col>
      <xdr:colOff>0</xdr:colOff>
      <xdr:row>1</xdr:row>
      <xdr:rowOff>12700</xdr:rowOff>
    </xdr:from>
    <xdr:to>
      <xdr:col>50</xdr:col>
      <xdr:colOff>12700</xdr:colOff>
      <xdr:row>16</xdr:row>
      <xdr:rowOff>69780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167ED6-7A12-E54C-7B35-8ADD4B90F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304800</xdr:colOff>
      <xdr:row>4</xdr:row>
      <xdr:rowOff>0</xdr:rowOff>
    </xdr:from>
    <xdr:to>
      <xdr:col>51</xdr:col>
      <xdr:colOff>914400</xdr:colOff>
      <xdr:row>38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303183-DDDF-F1C9-B239-9FAF5EA50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562427</xdr:colOff>
      <xdr:row>6</xdr:row>
      <xdr:rowOff>34469</xdr:rowOff>
    </xdr:from>
    <xdr:to>
      <xdr:col>68</xdr:col>
      <xdr:colOff>798286</xdr:colOff>
      <xdr:row>35</xdr:row>
      <xdr:rowOff>181428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804909A-2785-3039-F2D2-90190EC9A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70</xdr:col>
      <xdr:colOff>0</xdr:colOff>
      <xdr:row>6</xdr:row>
      <xdr:rowOff>0</xdr:rowOff>
    </xdr:from>
    <xdr:to>
      <xdr:col>80</xdr:col>
      <xdr:colOff>816429</xdr:colOff>
      <xdr:row>30</xdr:row>
      <xdr:rowOff>146957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66A6DD-1445-534E-A5E1-959333770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131789</xdr:colOff>
      <xdr:row>13</xdr:row>
      <xdr:rowOff>24811</xdr:rowOff>
    </xdr:from>
    <xdr:to>
      <xdr:col>5</xdr:col>
      <xdr:colOff>228600</xdr:colOff>
      <xdr:row>15</xdr:row>
      <xdr:rowOff>121554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6ED7C-9133-4D43-BCAC-26A30446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2789" y="2691811"/>
          <a:ext cx="1138211" cy="503143"/>
        </a:xfrm>
        <a:prstGeom prst="rect">
          <a:avLst/>
        </a:prstGeom>
      </xdr:spPr>
    </xdr:pic>
    <xdr:clientData/>
  </xdr:twoCellAnchor>
  <xdr:twoCellAnchor editAs="oneCell">
    <xdr:from>
      <xdr:col>4</xdr:col>
      <xdr:colOff>143137</xdr:colOff>
      <xdr:row>16</xdr:row>
      <xdr:rowOff>65325</xdr:rowOff>
    </xdr:from>
    <xdr:to>
      <xdr:col>6</xdr:col>
      <xdr:colOff>586404</xdr:colOff>
      <xdr:row>18</xdr:row>
      <xdr:rowOff>30607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7DF00-1609-D44A-90E1-D1F6EA36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4137" y="3341925"/>
          <a:ext cx="2310167" cy="371682"/>
        </a:xfrm>
        <a:prstGeom prst="rect">
          <a:avLst/>
        </a:prstGeom>
      </xdr:spPr>
    </xdr:pic>
    <xdr:clientData/>
  </xdr:twoCellAnchor>
  <xdr:twoCellAnchor editAs="oneCell">
    <xdr:from>
      <xdr:col>0</xdr:col>
      <xdr:colOff>51806</xdr:colOff>
      <xdr:row>18</xdr:row>
      <xdr:rowOff>198081</xdr:rowOff>
    </xdr:from>
    <xdr:to>
      <xdr:col>3</xdr:col>
      <xdr:colOff>474950</xdr:colOff>
      <xdr:row>33</xdr:row>
      <xdr:rowOff>0</xdr:rowOff>
    </xdr:to>
    <xdr:pic>
      <xdr:nvPicPr>
        <xdr:cNvPr id="4" name="Picture 3" descr="Graph presents duration approximation as a straight, downward-sloping line, while actual price change is a downward-bowed curve.">
          <a:extLst>
            <a:ext uri="{FF2B5EF4-FFF2-40B4-BE49-F238E27FC236}">
              <a16:creationId xmlns:a16="http://schemas.microsoft.com/office/drawing/2014/main" id="{54A15BD9-401B-394B-94AF-5DDB64EC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06" y="3881081"/>
          <a:ext cx="4398244" cy="2849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bumchanahn/Desktop/HULT/HULT%20Professor%20PG/PG%202023%20Spring_Investment%20/2023%20Spring_Investments_Excel_Application_Ch16.%20Holding%20Period%20Immunization.xls" TargetMode="External"/><Relationship Id="rId1" Type="http://schemas.openxmlformats.org/officeDocument/2006/relationships/externalLinkPath" Target="/Users/paulbumchanahn/Desktop/HULT/HULT%20Professor%20PG/PG%202023%20Spring_Investment%20/2023%20Spring_Investments_Excel_Application_Ch16.%20Holding%20Period%20Immuniz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ahn/Desktop/Accounting%20TA/Performance%20Management/C:\Users\John\Accounting%20HULT%20My%20Files\accounting%20hult%20team%20files\Managerial%20Accounting\Chapter%202\C-V-P%20Graph%20for%20Class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uration Concept"/>
      <sheetName val="Duration Function"/>
      <sheetName val="Convexity (2)"/>
      <sheetName val="Convexity"/>
      <sheetName val="Immunization"/>
      <sheetName val="Book Model"/>
      <sheetName val="OLC Model"/>
    </sheetNames>
    <sheetDataSet>
      <sheetData sheetId="0" refreshError="1"/>
      <sheetData sheetId="1" refreshError="1"/>
      <sheetData sheetId="2" refreshError="1"/>
      <sheetData sheetId="3">
        <row r="7">
          <cell r="C7">
            <v>8</v>
          </cell>
        </row>
        <row r="8">
          <cell r="C8">
            <v>0.08</v>
          </cell>
        </row>
        <row r="9">
          <cell r="C9">
            <v>30</v>
          </cell>
        </row>
        <row r="10">
          <cell r="C10">
            <v>100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ase"/>
      <sheetName val="FCFF vs. FCFE"/>
    </sheetNames>
    <sheetDataSet>
      <sheetData sheetId="0" refreshError="1"/>
      <sheetData sheetId="1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23T18:43:07.3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21733,'0'4'0,"0"-1"0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Vivek Vappala Premkumar" id="{70D46A2F-D3AD-D04E-8F30-5BB26857037E}" userId="S::VPremkumar@student.hult.edu::7c3696f9-5230-4600-ab7c-0f2e3f47e7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5-03-31T23:57:48.05" personId="{70D46A2F-D3AD-D04E-8F30-5BB26857037E}" id="{5DACD1D5-5DC9-BA4C-826E-E54A56F9E206}">
    <text>Value from Yahoo Finance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E913-5181-C441-BCD3-088691783E99}">
  <sheetPr>
    <pageSetUpPr fitToPage="1"/>
  </sheetPr>
  <dimension ref="A2:F47"/>
  <sheetViews>
    <sheetView showGridLines="0" topLeftCell="A9" zoomScale="113" zoomScaleNormal="143" workbookViewId="0">
      <selection activeCell="D7" sqref="D7"/>
    </sheetView>
  </sheetViews>
  <sheetFormatPr baseColWidth="10" defaultRowHeight="16"/>
  <cols>
    <col min="1" max="1" width="3" style="94" customWidth="1"/>
    <col min="2" max="2" width="16.83203125" style="94" customWidth="1"/>
    <col min="3" max="3" width="19.5" style="94" customWidth="1"/>
    <col min="4" max="5" width="12.83203125" style="94" customWidth="1"/>
    <col min="6" max="6" width="14.83203125" style="94" customWidth="1"/>
    <col min="7" max="7" width="14.1640625" style="94" customWidth="1"/>
    <col min="8" max="8" width="10.83203125" style="94"/>
    <col min="9" max="9" width="14" style="94" customWidth="1"/>
    <col min="10" max="10" width="13.5" style="94" customWidth="1"/>
    <col min="11" max="16384" width="10.83203125" style="94"/>
  </cols>
  <sheetData>
    <row r="2" spans="1:5" ht="25">
      <c r="B2" s="162" t="s">
        <v>75</v>
      </c>
      <c r="C2" s="162"/>
    </row>
    <row r="3" spans="1:5" ht="18">
      <c r="B3" s="96" t="s">
        <v>53</v>
      </c>
      <c r="C3" s="96"/>
    </row>
    <row r="5" spans="1:5">
      <c r="B5" s="141" t="s">
        <v>76</v>
      </c>
      <c r="C5" s="141"/>
      <c r="D5" s="172"/>
    </row>
    <row r="6" spans="1:5">
      <c r="B6" s="110" t="s">
        <v>77</v>
      </c>
      <c r="C6" s="110"/>
      <c r="D6" s="133">
        <f>'Data. Securities'!E7</f>
        <v>4.2459999999999998E-2</v>
      </c>
    </row>
    <row r="7" spans="1:5">
      <c r="B7" s="110" t="s">
        <v>78</v>
      </c>
      <c r="C7" s="110"/>
      <c r="D7" s="125">
        <f>'Asset Classes Allocation'!D26</f>
        <v>0.18337310000039203</v>
      </c>
    </row>
    <row r="8" spans="1:5">
      <c r="B8" s="110" t="s">
        <v>79</v>
      </c>
      <c r="C8" s="110"/>
      <c r="D8" s="125">
        <f>'Asset Classes Allocation'!E26</f>
        <v>0.19104045405840908</v>
      </c>
    </row>
    <row r="10" spans="1:5">
      <c r="A10" s="124"/>
      <c r="B10" s="170" t="s">
        <v>80</v>
      </c>
      <c r="C10" s="170"/>
      <c r="D10" s="171"/>
    </row>
    <row r="11" spans="1:5">
      <c r="B11" s="110" t="s">
        <v>81</v>
      </c>
      <c r="C11" s="110"/>
      <c r="D11" s="132">
        <f>(D7-D6)/(D17*D8^2)</f>
        <v>0.521757819096477</v>
      </c>
      <c r="E11" s="112"/>
    </row>
    <row r="12" spans="1:5">
      <c r="B12" s="120" t="s">
        <v>82</v>
      </c>
      <c r="C12" s="120"/>
      <c r="D12" s="184">
        <f>1-D11</f>
        <v>0.478242180903523</v>
      </c>
    </row>
    <row r="13" spans="1:5">
      <c r="B13" s="110" t="s">
        <v>71</v>
      </c>
      <c r="C13" s="110"/>
      <c r="D13" s="125">
        <f>D11*D7+D12*D6</f>
        <v>0.11598251173832831</v>
      </c>
    </row>
    <row r="14" spans="1:5">
      <c r="B14" s="110" t="s">
        <v>72</v>
      </c>
      <c r="C14" s="110"/>
      <c r="D14" s="125">
        <f>D11*D8</f>
        <v>9.9676850668716233E-2</v>
      </c>
    </row>
    <row r="15" spans="1:5">
      <c r="B15" s="120" t="s">
        <v>140</v>
      </c>
      <c r="C15" s="120"/>
      <c r="D15" s="163">
        <f>(D7-D6)/D8</f>
        <v>0.73760869494850023</v>
      </c>
    </row>
    <row r="16" spans="1:5" ht="19" customHeight="1">
      <c r="B16" s="94" t="s">
        <v>87</v>
      </c>
      <c r="D16" s="210">
        <v>63</v>
      </c>
    </row>
    <row r="17" spans="2:6">
      <c r="B17" s="94" t="s">
        <v>90</v>
      </c>
      <c r="D17" s="127">
        <f>20*(1-D16/100)</f>
        <v>7.4</v>
      </c>
      <c r="F17" s="145"/>
    </row>
    <row r="18" spans="2:6">
      <c r="B18" s="120" t="s">
        <v>88</v>
      </c>
      <c r="C18" s="120"/>
      <c r="D18" s="146">
        <f>D13-1/2*D17*D14^2</f>
        <v>7.9221255869164148E-2</v>
      </c>
    </row>
    <row r="19" spans="2:6">
      <c r="B19" s="147" t="s">
        <v>185</v>
      </c>
      <c r="C19" s="147"/>
      <c r="D19" s="110"/>
    </row>
    <row r="20" spans="2:6" ht="17" thickBot="1"/>
    <row r="21" spans="2:6" ht="17" thickBot="1">
      <c r="F21" s="169">
        <v>7.9221255869164148E-2</v>
      </c>
    </row>
    <row r="22" spans="2:6">
      <c r="B22" s="99" t="s">
        <v>137</v>
      </c>
      <c r="C22" s="99" t="s">
        <v>134</v>
      </c>
      <c r="D22" s="99" t="s">
        <v>135</v>
      </c>
      <c r="E22" s="99" t="s">
        <v>138</v>
      </c>
      <c r="F22" s="99" t="s">
        <v>136</v>
      </c>
    </row>
    <row r="23" spans="2:6">
      <c r="B23" s="98" t="s">
        <v>139</v>
      </c>
      <c r="C23" s="164">
        <f>D13</f>
        <v>0.11598251173832831</v>
      </c>
      <c r="D23" s="164">
        <f>D14</f>
        <v>9.9676850668716233E-2</v>
      </c>
      <c r="E23" s="164">
        <f>D18</f>
        <v>7.9221255869164148E-2</v>
      </c>
      <c r="F23" s="164">
        <f t="shared" ref="F23:F33" si="0">$F$21+1/2*$D$17*D23^2</f>
        <v>0.1159825117383283</v>
      </c>
    </row>
    <row r="24" spans="2:6">
      <c r="B24" s="165">
        <v>0.1</v>
      </c>
      <c r="C24" s="166">
        <f t="dataTable" ref="C24:E33" dt2D="0" dtr="0" r1="D11"/>
        <v>5.6551310000039198E-2</v>
      </c>
      <c r="D24" s="166">
        <v>1.910404540584091E-2</v>
      </c>
      <c r="E24" s="166">
        <v>5.5200941161826E-2</v>
      </c>
      <c r="F24" s="167">
        <f t="shared" si="0"/>
        <v>8.0571624707377346E-2</v>
      </c>
    </row>
    <row r="25" spans="2:6">
      <c r="B25" s="165">
        <v>0.2</v>
      </c>
      <c r="C25" s="166">
        <v>7.0642620000078399E-2</v>
      </c>
      <c r="D25" s="166">
        <v>3.8208090811681819E-2</v>
      </c>
      <c r="E25" s="166">
        <v>6.5241144647225621E-2</v>
      </c>
      <c r="F25" s="167">
        <f t="shared" si="0"/>
        <v>8.4622731222016925E-2</v>
      </c>
    </row>
    <row r="26" spans="2:6">
      <c r="B26" s="165">
        <v>0.3</v>
      </c>
      <c r="C26" s="166">
        <v>8.4733930000117599E-2</v>
      </c>
      <c r="D26" s="166">
        <v>5.7312136217522722E-2</v>
      </c>
      <c r="E26" s="166">
        <v>7.2580610456198846E-2</v>
      </c>
      <c r="F26" s="167">
        <f t="shared" si="0"/>
        <v>9.1374575413082901E-2</v>
      </c>
    </row>
    <row r="27" spans="2:6">
      <c r="B27" s="165">
        <v>0.4</v>
      </c>
      <c r="C27" s="166">
        <v>9.8825240000156814E-2</v>
      </c>
      <c r="D27" s="166">
        <v>7.6416181623363638E-2</v>
      </c>
      <c r="E27" s="166">
        <v>7.721933858874569E-2</v>
      </c>
      <c r="F27" s="167">
        <f t="shared" si="0"/>
        <v>0.10082715728057527</v>
      </c>
    </row>
    <row r="28" spans="2:6">
      <c r="B28" s="165">
        <v>0.5</v>
      </c>
      <c r="C28" s="166">
        <v>0.11291655000019601</v>
      </c>
      <c r="D28" s="166">
        <v>9.5520227029204541E-2</v>
      </c>
      <c r="E28" s="166">
        <v>7.9157329044866137E-2</v>
      </c>
      <c r="F28" s="167">
        <f t="shared" si="0"/>
        <v>0.11298047682449402</v>
      </c>
    </row>
    <row r="29" spans="2:6">
      <c r="B29" s="237">
        <v>0.6</v>
      </c>
      <c r="C29" s="238">
        <v>0.12700786000023523</v>
      </c>
      <c r="D29" s="238">
        <v>0.11462427243504544</v>
      </c>
      <c r="E29" s="238">
        <v>7.8394581824560217E-2</v>
      </c>
      <c r="F29" s="167">
        <f t="shared" si="0"/>
        <v>0.12783453404483916</v>
      </c>
    </row>
    <row r="30" spans="2:6">
      <c r="B30" s="237">
        <v>0.7</v>
      </c>
      <c r="C30" s="238">
        <v>0.14109917000027442</v>
      </c>
      <c r="D30" s="238">
        <v>0.13372831784088635</v>
      </c>
      <c r="E30" s="238">
        <v>7.4931096927827873E-2</v>
      </c>
      <c r="F30" s="167">
        <f t="shared" si="0"/>
        <v>0.14538932894161069</v>
      </c>
    </row>
    <row r="31" spans="2:6">
      <c r="B31" s="237">
        <v>0.8</v>
      </c>
      <c r="C31" s="238">
        <v>0.15519048000031363</v>
      </c>
      <c r="D31" s="238">
        <v>0.15283236324672728</v>
      </c>
      <c r="E31" s="238">
        <v>6.8766874354669119E-2</v>
      </c>
      <c r="F31" s="167">
        <f t="shared" si="0"/>
        <v>0.16564486151480867</v>
      </c>
    </row>
    <row r="32" spans="2:6">
      <c r="B32" s="165">
        <v>0.9</v>
      </c>
      <c r="C32" s="166">
        <v>0.16928179000035284</v>
      </c>
      <c r="D32" s="166">
        <v>0.17193640865256818</v>
      </c>
      <c r="E32" s="166">
        <v>5.9901914105084025E-2</v>
      </c>
      <c r="F32" s="167">
        <f t="shared" si="0"/>
        <v>0.18860113176443297</v>
      </c>
    </row>
    <row r="33" spans="2:6">
      <c r="B33" s="168">
        <v>1</v>
      </c>
      <c r="C33" s="166">
        <v>0.18337310000039203</v>
      </c>
      <c r="D33" s="166">
        <v>0.19104045405840908</v>
      </c>
      <c r="E33" s="166">
        <v>4.8336216179072494E-2</v>
      </c>
      <c r="F33" s="167">
        <f t="shared" si="0"/>
        <v>0.21425813969048368</v>
      </c>
    </row>
    <row r="34" spans="2:6">
      <c r="B34" s="98"/>
      <c r="C34" s="98"/>
      <c r="E34" s="110"/>
    </row>
    <row r="35" spans="2:6">
      <c r="B35" s="98"/>
      <c r="C35" s="98"/>
      <c r="E35" s="110"/>
    </row>
    <row r="36" spans="2:6">
      <c r="B36" s="98"/>
      <c r="C36" s="98"/>
      <c r="E36" s="110"/>
    </row>
    <row r="37" spans="2:6">
      <c r="B37" s="98"/>
      <c r="C37" s="98"/>
      <c r="E37" s="110"/>
    </row>
    <row r="38" spans="2:6">
      <c r="B38" s="98"/>
      <c r="C38" s="98"/>
      <c r="E38" s="110"/>
    </row>
    <row r="39" spans="2:6">
      <c r="B39" s="98"/>
      <c r="C39" s="98"/>
      <c r="E39" s="110"/>
    </row>
    <row r="40" spans="2:6">
      <c r="B40" s="98"/>
      <c r="C40" s="98"/>
      <c r="E40" s="110"/>
    </row>
    <row r="41" spans="2:6">
      <c r="B41" s="98"/>
      <c r="C41" s="98"/>
      <c r="E41" s="110"/>
    </row>
    <row r="42" spans="2:6">
      <c r="B42" s="98"/>
      <c r="C42" s="98"/>
      <c r="E42" s="110"/>
    </row>
    <row r="43" spans="2:6">
      <c r="B43" s="106"/>
      <c r="C43" s="106"/>
      <c r="E43" s="110"/>
    </row>
    <row r="44" spans="2:6">
      <c r="E44" s="110"/>
    </row>
    <row r="45" spans="2:6">
      <c r="E45" s="110"/>
    </row>
    <row r="46" spans="2:6">
      <c r="E46" s="110"/>
    </row>
    <row r="47" spans="2:6">
      <c r="E47" s="110"/>
    </row>
  </sheetData>
  <pageMargins left="0.25" right="0.25" top="0.75" bottom="0.75" header="0.3" footer="0.3"/>
  <pageSetup scale="53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0FDF-70B1-9E43-B59B-762D687F23F5}">
  <sheetPr>
    <pageSetUpPr fitToPage="1"/>
  </sheetPr>
  <dimension ref="A2:L37"/>
  <sheetViews>
    <sheetView showGridLines="0" topLeftCell="A6" zoomScale="112" workbookViewId="0">
      <selection activeCell="E24" sqref="E24"/>
    </sheetView>
  </sheetViews>
  <sheetFormatPr baseColWidth="10" defaultColWidth="8.83203125" defaultRowHeight="16"/>
  <cols>
    <col min="1" max="1" width="2.33203125" style="94" customWidth="1"/>
    <col min="2" max="2" width="21.5" style="94" customWidth="1"/>
    <col min="3" max="3" width="26.5" style="94" customWidth="1"/>
    <col min="4" max="6" width="25" style="94" customWidth="1"/>
    <col min="7" max="7" width="3" style="94" customWidth="1"/>
    <col min="8" max="8" width="14.33203125" style="94" customWidth="1"/>
    <col min="9" max="16384" width="8.83203125" style="94"/>
  </cols>
  <sheetData>
    <row r="2" spans="2:12" ht="30">
      <c r="B2" s="93" t="s">
        <v>52</v>
      </c>
    </row>
    <row r="3" spans="2:12" ht="20">
      <c r="B3" s="95" t="s">
        <v>53</v>
      </c>
    </row>
    <row r="4" spans="2:12">
      <c r="C4" s="97"/>
      <c r="D4" s="97"/>
      <c r="E4" s="97"/>
      <c r="F4" s="98"/>
    </row>
    <row r="5" spans="2:12">
      <c r="B5" s="141" t="s">
        <v>54</v>
      </c>
      <c r="C5" s="99" t="s">
        <v>55</v>
      </c>
      <c r="D5" s="99" t="s">
        <v>24</v>
      </c>
      <c r="E5" s="99" t="s">
        <v>56</v>
      </c>
      <c r="F5" s="99" t="s">
        <v>57</v>
      </c>
      <c r="H5" s="107" t="s">
        <v>145</v>
      </c>
      <c r="I5" s="183"/>
      <c r="J5" s="183"/>
      <c r="K5" s="183"/>
      <c r="L5" s="183"/>
    </row>
    <row r="6" spans="2:12">
      <c r="B6" s="142" t="s">
        <v>84</v>
      </c>
      <c r="C6" s="125">
        <f>'Data. Bond Duration &amp; Convexity'!C16</f>
        <v>2.6060500000000004E-2</v>
      </c>
      <c r="D6" s="125">
        <f>'Data. Securities'!O8</f>
        <v>2.816540211113773E-2</v>
      </c>
      <c r="E6" s="310">
        <f>CORREL('Data. Securities'!AU57:AU176,'Data. Securities'!AX57:AX176)</f>
        <v>0.47856013316771667</v>
      </c>
      <c r="F6" s="310">
        <f>$D$6*$D$7*$E$6</f>
        <v>2.5750034434638223E-3</v>
      </c>
    </row>
    <row r="7" spans="2:12">
      <c r="B7" s="142" t="s">
        <v>83</v>
      </c>
      <c r="C7" s="125">
        <f>'Security Allocation'!C65+C8</f>
        <v>0.18337310000039203</v>
      </c>
      <c r="D7" s="125">
        <f>'Security Allocation'!C66</f>
        <v>0.19104045405840908</v>
      </c>
      <c r="E7" s="311"/>
      <c r="F7" s="311"/>
    </row>
    <row r="8" spans="2:12">
      <c r="B8" s="142" t="s">
        <v>58</v>
      </c>
      <c r="C8" s="125">
        <v>4.2459999999999998E-2</v>
      </c>
      <c r="D8" s="125">
        <v>0</v>
      </c>
      <c r="E8" s="100"/>
    </row>
    <row r="9" spans="2:12">
      <c r="B9" s="101"/>
      <c r="C9" s="102"/>
      <c r="D9" s="102"/>
      <c r="E9" s="102"/>
      <c r="F9" s="103"/>
    </row>
    <row r="10" spans="2:12">
      <c r="B10" s="308" t="s">
        <v>59</v>
      </c>
      <c r="C10" s="309"/>
      <c r="D10" s="104"/>
      <c r="E10" s="104"/>
      <c r="F10" s="104" t="s">
        <v>60</v>
      </c>
    </row>
    <row r="11" spans="2:12">
      <c r="B11" s="99" t="s">
        <v>61</v>
      </c>
      <c r="C11" s="105" t="s">
        <v>62</v>
      </c>
      <c r="D11" s="99" t="s">
        <v>55</v>
      </c>
      <c r="E11" s="99" t="s">
        <v>24</v>
      </c>
      <c r="F11" s="99" t="s">
        <v>63</v>
      </c>
    </row>
    <row r="12" spans="2:12">
      <c r="B12" s="168">
        <v>1</v>
      </c>
      <c r="C12" s="173">
        <v>0</v>
      </c>
      <c r="D12" s="126">
        <f>$C$6*$B12+$C$7*$C12</f>
        <v>2.6060500000000004E-2</v>
      </c>
      <c r="E12" s="126">
        <f>($B12^2*$D$6^2+$C12^2*$D$7^2+2*$B12*$C12*$F$6)^0.5</f>
        <v>2.816540211113773E-2</v>
      </c>
      <c r="F12" s="126">
        <f>(D12-$C$8)/E12</f>
        <v>-0.5822569099240722</v>
      </c>
    </row>
    <row r="13" spans="2:12">
      <c r="B13" s="168">
        <v>0.9</v>
      </c>
      <c r="C13" s="173">
        <v>0.1</v>
      </c>
      <c r="D13" s="126">
        <f t="shared" ref="D13:D22" si="0">$C$6*$B13+$C$7*$C13</f>
        <v>4.1791760000039209E-2</v>
      </c>
      <c r="E13" s="126">
        <f t="shared" ref="E13:E22" si="1">($B13^2*$D$6^2+$C13^2*$D$7^2+2*$B13*$C13*$F$6)^0.5</f>
        <v>3.8354008529988173E-2</v>
      </c>
      <c r="F13" s="126">
        <f t="shared" ref="F13:F22" si="2">(D13-$C$8)/E13</f>
        <v>-1.7422950705095305E-2</v>
      </c>
    </row>
    <row r="14" spans="2:12">
      <c r="B14" s="168">
        <v>0.8</v>
      </c>
      <c r="C14" s="173">
        <v>0.2</v>
      </c>
      <c r="D14" s="126">
        <f t="shared" si="0"/>
        <v>5.7523020000078411E-2</v>
      </c>
      <c r="E14" s="126">
        <f t="shared" si="1"/>
        <v>5.2835261200023236E-2</v>
      </c>
      <c r="F14" s="126">
        <f t="shared" si="2"/>
        <v>0.28509407653068985</v>
      </c>
    </row>
    <row r="15" spans="2:12">
      <c r="B15" s="168">
        <v>0.7</v>
      </c>
      <c r="C15" s="173">
        <v>0.3</v>
      </c>
      <c r="D15" s="126">
        <f t="shared" si="0"/>
        <v>7.3254280000117605E-2</v>
      </c>
      <c r="E15" s="126">
        <f t="shared" si="1"/>
        <v>6.8955742642298506E-2</v>
      </c>
      <c r="F15" s="126">
        <f t="shared" si="2"/>
        <v>0.44658035458859557</v>
      </c>
    </row>
    <row r="16" spans="2:12">
      <c r="B16" s="168">
        <v>0.6</v>
      </c>
      <c r="C16" s="173">
        <v>0.4</v>
      </c>
      <c r="D16" s="126">
        <f t="shared" si="0"/>
        <v>8.8985540000156821E-2</v>
      </c>
      <c r="E16" s="126">
        <f t="shared" si="1"/>
        <v>8.5796380006076506E-2</v>
      </c>
      <c r="F16" s="126">
        <f t="shared" si="2"/>
        <v>0.54227859027224301</v>
      </c>
    </row>
    <row r="17" spans="1:7">
      <c r="B17" s="168">
        <v>0.5</v>
      </c>
      <c r="C17" s="173">
        <v>0.5</v>
      </c>
      <c r="D17" s="126">
        <f t="shared" si="0"/>
        <v>0.10471680000019602</v>
      </c>
      <c r="E17" s="126">
        <f t="shared" si="1"/>
        <v>0.10300455311520559</v>
      </c>
      <c r="F17" s="126">
        <f t="shared" si="2"/>
        <v>0.60440823359104145</v>
      </c>
    </row>
    <row r="18" spans="1:7">
      <c r="B18" s="168">
        <v>0.4</v>
      </c>
      <c r="C18" s="173">
        <v>0.6</v>
      </c>
      <c r="D18" s="126">
        <f t="shared" si="0"/>
        <v>0.12044806000023522</v>
      </c>
      <c r="E18" s="126">
        <f t="shared" si="1"/>
        <v>0.12042280458575647</v>
      </c>
      <c r="F18" s="126">
        <f t="shared" si="2"/>
        <v>0.64761869870500932</v>
      </c>
    </row>
    <row r="19" spans="1:7">
      <c r="B19" s="168">
        <v>0.3</v>
      </c>
      <c r="C19" s="173">
        <v>0.7</v>
      </c>
      <c r="D19" s="126">
        <f t="shared" si="0"/>
        <v>0.13617932000027441</v>
      </c>
      <c r="E19" s="126">
        <f t="shared" si="1"/>
        <v>0.13797159319097288</v>
      </c>
      <c r="F19" s="126">
        <f t="shared" si="2"/>
        <v>0.6792653316002023</v>
      </c>
    </row>
    <row r="20" spans="1:7">
      <c r="B20" s="168">
        <v>0.2</v>
      </c>
      <c r="C20" s="173">
        <v>0.8</v>
      </c>
      <c r="D20" s="126">
        <f t="shared" si="0"/>
        <v>0.15191058000031363</v>
      </c>
      <c r="E20" s="126">
        <f t="shared" si="1"/>
        <v>0.15560676062604512</v>
      </c>
      <c r="F20" s="126">
        <f t="shared" si="2"/>
        <v>0.7033793362188534</v>
      </c>
    </row>
    <row r="21" spans="1:7">
      <c r="B21" s="168">
        <v>0.1</v>
      </c>
      <c r="C21" s="173">
        <v>0.9</v>
      </c>
      <c r="D21" s="126">
        <f t="shared" si="0"/>
        <v>0.16764184000035284</v>
      </c>
      <c r="E21" s="126">
        <f t="shared" si="1"/>
        <v>0.17330193922436998</v>
      </c>
      <c r="F21" s="126">
        <f t="shared" si="2"/>
        <v>0.7223337520665758</v>
      </c>
    </row>
    <row r="22" spans="1:7">
      <c r="B22" s="174">
        <v>0</v>
      </c>
      <c r="C22" s="175">
        <v>1</v>
      </c>
      <c r="D22" s="176">
        <f t="shared" si="0"/>
        <v>0.18337310000039203</v>
      </c>
      <c r="E22" s="177">
        <f t="shared" si="1"/>
        <v>0.19104045405840908</v>
      </c>
      <c r="F22" s="177">
        <f t="shared" si="2"/>
        <v>0.73760869494850023</v>
      </c>
    </row>
    <row r="23" spans="1:7">
      <c r="B23" s="107" t="s">
        <v>141</v>
      </c>
      <c r="C23" s="108"/>
      <c r="D23" s="99" t="s">
        <v>55</v>
      </c>
      <c r="E23" s="99" t="s">
        <v>104</v>
      </c>
      <c r="F23" s="115" t="s">
        <v>25</v>
      </c>
    </row>
    <row r="24" spans="1:7">
      <c r="A24" s="97"/>
      <c r="B24" s="128">
        <v>1</v>
      </c>
      <c r="C24" s="129">
        <f>1-$B$24</f>
        <v>0</v>
      </c>
      <c r="D24" s="126">
        <f>$C$6*$B24+$C$7*$C24</f>
        <v>2.6060500000000004E-2</v>
      </c>
      <c r="E24" s="139">
        <f>((($B$24^2)*($D$6^2))+(($C$24^2)*($D$7^2))+(2*$B$24*$C$24*$F$6))^0.5</f>
        <v>2.816540211113773E-2</v>
      </c>
      <c r="F24" s="126">
        <f>(D24-$C$8)/E24</f>
        <v>-0.5822569099240722</v>
      </c>
      <c r="G24" s="109" t="s">
        <v>64</v>
      </c>
    </row>
    <row r="25" spans="1:7">
      <c r="A25" s="112"/>
      <c r="B25" s="113" t="s">
        <v>65</v>
      </c>
      <c r="C25" s="114"/>
      <c r="D25" s="99" t="s">
        <v>55</v>
      </c>
      <c r="E25" s="99" t="s">
        <v>24</v>
      </c>
      <c r="F25" s="115" t="s">
        <v>66</v>
      </c>
      <c r="G25" s="110"/>
    </row>
    <row r="26" spans="1:7">
      <c r="A26" s="112"/>
      <c r="B26" s="130">
        <v>0</v>
      </c>
      <c r="C26" s="131">
        <f>1-B26</f>
        <v>1</v>
      </c>
      <c r="D26" s="126">
        <f>$C$6*$B26+$C$7*$C26</f>
        <v>0.18337310000039203</v>
      </c>
      <c r="E26" s="126">
        <f>((($B$26^2)*($D$6^2))+(($C$26^2)*($D$7^2))+(2*$B$26*$C$26*$F$6))^0.5</f>
        <v>0.19104045405840908</v>
      </c>
      <c r="F26" s="139">
        <f>(D26-$C$8)/E26</f>
        <v>0.73760869494850023</v>
      </c>
      <c r="G26" s="109" t="s">
        <v>64</v>
      </c>
    </row>
    <row r="27" spans="1:7">
      <c r="A27" s="112"/>
      <c r="B27" s="116"/>
      <c r="C27" s="117"/>
      <c r="D27" s="110"/>
      <c r="E27" s="111"/>
      <c r="F27" s="118"/>
    </row>
    <row r="28" spans="1:7">
      <c r="B28" s="113" t="s">
        <v>89</v>
      </c>
      <c r="C28" s="113"/>
      <c r="D28" s="99"/>
    </row>
    <row r="29" spans="1:7">
      <c r="B29" s="110" t="s">
        <v>67</v>
      </c>
      <c r="D29" s="119">
        <f>(D26-C8)/('Capital Allocation'!D17*'Asset Classes Allocation'!E26^2)</f>
        <v>0.521757819096477</v>
      </c>
    </row>
    <row r="30" spans="1:7">
      <c r="B30" s="120" t="s">
        <v>68</v>
      </c>
      <c r="C30" s="102"/>
      <c r="D30" s="121">
        <f>1-D29</f>
        <v>0.478242180903523</v>
      </c>
    </row>
    <row r="31" spans="1:7">
      <c r="B31" s="110" t="s">
        <v>69</v>
      </c>
      <c r="D31" s="122">
        <f>D29*B26</f>
        <v>0</v>
      </c>
    </row>
    <row r="32" spans="1:7">
      <c r="B32" s="120" t="s">
        <v>70</v>
      </c>
      <c r="C32" s="102"/>
      <c r="D32" s="123">
        <f>D29*C26</f>
        <v>0.521757819096477</v>
      </c>
    </row>
    <row r="33" spans="2:4">
      <c r="B33" s="110" t="s">
        <v>105</v>
      </c>
      <c r="D33" s="140">
        <f>D29*D26+D30*C8</f>
        <v>0.11598251173832831</v>
      </c>
    </row>
    <row r="34" spans="2:4">
      <c r="B34" s="110" t="s">
        <v>106</v>
      </c>
      <c r="D34" s="140">
        <f>D29*E26</f>
        <v>9.9676850668716233E-2</v>
      </c>
    </row>
    <row r="35" spans="2:4">
      <c r="B35" s="110" t="s">
        <v>73</v>
      </c>
      <c r="D35" s="126">
        <f>(D33-C8)/D34</f>
        <v>0.73760869494850012</v>
      </c>
    </row>
    <row r="37" spans="2:4">
      <c r="C37" s="94" t="s">
        <v>74</v>
      </c>
    </row>
  </sheetData>
  <mergeCells count="3">
    <mergeCell ref="B10:C10"/>
    <mergeCell ref="E6:E7"/>
    <mergeCell ref="F6:F7"/>
  </mergeCells>
  <printOptions headings="1" gridLines="1"/>
  <pageMargins left="0.25" right="0.25" top="0.75" bottom="0.75" header="0.3" footer="0.3"/>
  <pageSetup scale="67" orientation="landscape" horizontalDpi="300" verticalDpi="300" r:id="rId1"/>
  <headerFooter alignWithMargins="0">
    <oddHeader>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CB5A-0308-9D44-928C-B6B9ECB64DBD}">
  <sheetPr>
    <pageSetUpPr fitToPage="1"/>
  </sheetPr>
  <dimension ref="B2:Q79"/>
  <sheetViews>
    <sheetView showGridLines="0" topLeftCell="A18" zoomScale="80" zoomScaleNormal="109" zoomScalePageLayoutView="120" workbookViewId="0">
      <selection activeCell="N43" sqref="N43"/>
    </sheetView>
  </sheetViews>
  <sheetFormatPr baseColWidth="10" defaultColWidth="12.5" defaultRowHeight="16"/>
  <cols>
    <col min="1" max="1" width="2.83203125" style="4" customWidth="1"/>
    <col min="2" max="2" width="42.1640625" style="4" customWidth="1"/>
    <col min="3" max="5" width="15.83203125" style="4" customWidth="1"/>
    <col min="6" max="11" width="13.83203125" style="4" customWidth="1"/>
    <col min="12" max="16384" width="12.5" style="4"/>
  </cols>
  <sheetData>
    <row r="2" spans="2:15" s="3" customFormat="1" ht="30">
      <c r="B2" s="92" t="s">
        <v>107</v>
      </c>
      <c r="C2" s="1"/>
      <c r="D2" s="1"/>
      <c r="E2" s="1"/>
      <c r="F2" s="2"/>
      <c r="G2" s="1"/>
      <c r="H2" s="1"/>
      <c r="I2" s="1"/>
      <c r="J2" s="1"/>
      <c r="K2" s="1"/>
    </row>
    <row r="3" spans="2:15">
      <c r="B3" s="5"/>
      <c r="C3" s="5"/>
      <c r="D3" s="5"/>
      <c r="E3" s="6"/>
      <c r="F3" s="5"/>
      <c r="G3" s="5"/>
      <c r="H3" s="6"/>
    </row>
    <row r="4" spans="2:15" ht="17">
      <c r="B4" s="161" t="s">
        <v>0</v>
      </c>
      <c r="C4" s="159" t="str">
        <f>'Data. Securities'!F6</f>
        <v>IYC</v>
      </c>
      <c r="D4" s="159" t="str">
        <f>'Data. Securities'!G6</f>
        <v xml:space="preserve">AMZN </v>
      </c>
      <c r="E4" s="159" t="str">
        <f>'Data. Securities'!H6</f>
        <v xml:space="preserve">TSLA </v>
      </c>
      <c r="F4" s="159" t="str">
        <f>'Data. Securities'!I6</f>
        <v>COST</v>
      </c>
      <c r="G4" s="159" t="str">
        <f>'Data. Securities'!J6</f>
        <v>NFLX</v>
      </c>
      <c r="H4" s="159" t="str">
        <f>'Data. Securities'!K6</f>
        <v>BKNG</v>
      </c>
      <c r="I4" s="159" t="str">
        <f>'Data. Securities'!L6</f>
        <v xml:space="preserve">HD </v>
      </c>
      <c r="J4" s="159" t="str">
        <f>'Data. Securities'!M6</f>
        <v>SBUX</v>
      </c>
      <c r="K4" s="159" t="str">
        <f>'Data. Securities'!N6</f>
        <v>WMT</v>
      </c>
      <c r="L4" s="303"/>
      <c r="M4" s="303"/>
      <c r="N4" s="303"/>
      <c r="O4" s="303"/>
    </row>
    <row r="5" spans="2:15" ht="17">
      <c r="B5" s="7" t="s">
        <v>1</v>
      </c>
      <c r="C5" s="9">
        <f>'Data. Securities'!F17</f>
        <v>1</v>
      </c>
      <c r="D5" s="9">
        <f>'Data. Securities'!G17</f>
        <v>1.1614255435900611</v>
      </c>
      <c r="E5" s="9">
        <f>'Data. Securities'!H17</f>
        <v>1.785887307925859</v>
      </c>
      <c r="F5" s="9">
        <f>'Data. Securities'!I17</f>
        <v>0.73994351950738635</v>
      </c>
      <c r="G5" s="9">
        <f>'Data. Securities'!J17</f>
        <v>1.1486186539559438</v>
      </c>
      <c r="H5" s="9">
        <f>'Data. Securities'!K17</f>
        <v>1.0050216996703423</v>
      </c>
      <c r="I5" s="9">
        <f>'Data. Securities'!L17</f>
        <v>0.85338101972757141</v>
      </c>
      <c r="J5" s="9">
        <f>'Data. Securities'!M17</f>
        <v>0.73534516600278699</v>
      </c>
      <c r="K5" s="9">
        <f>'Data. Securities'!N17</f>
        <v>0.46119563545919495</v>
      </c>
      <c r="L5" s="8"/>
      <c r="M5" s="8"/>
      <c r="N5" s="8"/>
      <c r="O5" s="8"/>
    </row>
    <row r="6" spans="2:15" ht="17">
      <c r="B6" s="7" t="s">
        <v>2</v>
      </c>
      <c r="C6" s="9">
        <f>'Data. Securities'!F8</f>
        <v>0.18920754872901682</v>
      </c>
      <c r="D6" s="9">
        <f>'Data. Securities'!G8</f>
        <v>0.31095122273882536</v>
      </c>
      <c r="E6" s="9">
        <f>'Data. Securities'!H8</f>
        <v>0.63117784394799148</v>
      </c>
      <c r="F6" s="9">
        <f>'Data. Securities'!I8</f>
        <v>0.20993205530026035</v>
      </c>
      <c r="G6" s="9">
        <f>'Data. Securities'!J8</f>
        <v>0.41059796200594273</v>
      </c>
      <c r="H6" s="9">
        <f>'Data. Securities'!K8</f>
        <v>0.29486100706478308</v>
      </c>
      <c r="I6" s="9">
        <f>'Data. Securities'!L8</f>
        <v>0.22083305261323033</v>
      </c>
      <c r="J6" s="9">
        <f>'Data. Securities'!M8</f>
        <v>0.24911038280827269</v>
      </c>
      <c r="K6" s="9">
        <f>'Data. Securities'!N8</f>
        <v>0.19097089023737929</v>
      </c>
      <c r="L6" s="8"/>
      <c r="M6" s="8"/>
      <c r="N6" s="8"/>
      <c r="O6" s="8"/>
    </row>
    <row r="7" spans="2:15" ht="17">
      <c r="B7" s="7" t="s">
        <v>3</v>
      </c>
      <c r="C7" s="9">
        <f>'Data. Securities'!F10</f>
        <v>0</v>
      </c>
      <c r="D7" s="9">
        <f>'Data. Securities'!G10</f>
        <v>0.22000088500656703</v>
      </c>
      <c r="E7" s="9">
        <f>'Data. Securities'!H10</f>
        <v>0.53310342309314052</v>
      </c>
      <c r="F7" s="9">
        <f>'Data. Securities'!I10</f>
        <v>0.15643099426740342</v>
      </c>
      <c r="G7" s="9">
        <f>'Data. Securities'!J10</f>
        <v>0.34836693644974337</v>
      </c>
      <c r="H7" s="9">
        <f>'Data. Securities'!K10</f>
        <v>0.22535098308875251</v>
      </c>
      <c r="I7" s="9">
        <f>'Data. Securities'!L10</f>
        <v>0.15065167010985756</v>
      </c>
      <c r="J7" s="9">
        <f>'Data. Securities'!M10</f>
        <v>0.2066350190857901</v>
      </c>
      <c r="K7" s="9">
        <f>'Data. Securities'!N10</f>
        <v>0.16986841197496413</v>
      </c>
      <c r="L7" s="8"/>
      <c r="M7" s="8"/>
      <c r="N7" s="8"/>
      <c r="O7" s="8"/>
    </row>
    <row r="8" spans="2:15" ht="17">
      <c r="B8" s="7" t="s">
        <v>4</v>
      </c>
      <c r="C8" s="9">
        <f>C5*$C$6</f>
        <v>0.18920754872901682</v>
      </c>
      <c r="D8" s="9">
        <f t="shared" ref="D8:H8" si="0">D5*$C$6</f>
        <v>0.21975048013394133</v>
      </c>
      <c r="E8" s="9">
        <f t="shared" si="0"/>
        <v>0.33790335983891462</v>
      </c>
      <c r="F8" s="9">
        <f t="shared" si="0"/>
        <v>0.14000289952391401</v>
      </c>
      <c r="G8" s="9">
        <f t="shared" si="0"/>
        <v>0.21732731993942694</v>
      </c>
      <c r="H8" s="9">
        <f t="shared" si="0"/>
        <v>0.19015769221409559</v>
      </c>
      <c r="I8" s="9">
        <f t="shared" ref="I8:K8" si="1">I5*$C$6</f>
        <v>0.16146613087452252</v>
      </c>
      <c r="J8" s="9">
        <f t="shared" si="1"/>
        <v>0.13913285632911929</v>
      </c>
      <c r="K8" s="9">
        <f t="shared" si="1"/>
        <v>8.7261695669755501E-2</v>
      </c>
      <c r="L8" s="8"/>
      <c r="M8" s="8"/>
      <c r="N8" s="8"/>
      <c r="O8" s="8"/>
    </row>
    <row r="9" spans="2:15" ht="17">
      <c r="B9" s="7" t="s">
        <v>5</v>
      </c>
      <c r="C9" s="9">
        <f>C5*$C$6/C6</f>
        <v>1</v>
      </c>
      <c r="D9" s="9">
        <f t="shared" ref="D9:H9" si="2">D5*$C$6/D6</f>
        <v>0.70670402321754011</v>
      </c>
      <c r="E9" s="9">
        <f t="shared" si="2"/>
        <v>0.5353536456941248</v>
      </c>
      <c r="F9" s="9">
        <f t="shared" si="2"/>
        <v>0.66689624566230021</v>
      </c>
      <c r="G9" s="9">
        <f t="shared" si="2"/>
        <v>0.52929468738152552</v>
      </c>
      <c r="H9" s="9">
        <f t="shared" si="2"/>
        <v>0.6449062021019164</v>
      </c>
      <c r="I9" s="9">
        <f t="shared" ref="I9:K9" si="3">I5*$C$6/I6</f>
        <v>0.73116831454264342</v>
      </c>
      <c r="J9" s="9">
        <f t="shared" si="3"/>
        <v>0.55851889736849147</v>
      </c>
      <c r="K9" s="9">
        <f t="shared" si="3"/>
        <v>0.45693715707817084</v>
      </c>
      <c r="L9" s="8"/>
      <c r="M9" s="8"/>
      <c r="N9" s="8"/>
      <c r="O9" s="8"/>
    </row>
    <row r="10" spans="2:15">
      <c r="B10" s="10"/>
      <c r="C10" s="8"/>
      <c r="D10" s="8"/>
      <c r="E10" s="8"/>
      <c r="F10" s="8"/>
      <c r="G10" s="8"/>
      <c r="H10" s="8"/>
      <c r="I10" s="8"/>
    </row>
    <row r="11" spans="2:15">
      <c r="B11" s="160" t="s">
        <v>6</v>
      </c>
      <c r="C11" s="159" t="str">
        <f>C4</f>
        <v>IYC</v>
      </c>
      <c r="D11" s="159" t="str">
        <f t="shared" ref="D11:H11" si="4">D4</f>
        <v xml:space="preserve">AMZN </v>
      </c>
      <c r="E11" s="159" t="str">
        <f t="shared" si="4"/>
        <v xml:space="preserve">TSLA </v>
      </c>
      <c r="F11" s="159" t="str">
        <f t="shared" si="4"/>
        <v>COST</v>
      </c>
      <c r="G11" s="159" t="str">
        <f t="shared" si="4"/>
        <v>NFLX</v>
      </c>
      <c r="H11" s="159" t="str">
        <f t="shared" si="4"/>
        <v>BKNG</v>
      </c>
      <c r="I11" s="159" t="str">
        <f t="shared" ref="I11:K11" si="5">I4</f>
        <v xml:space="preserve">HD </v>
      </c>
      <c r="J11" s="159" t="str">
        <f t="shared" si="5"/>
        <v>SBUX</v>
      </c>
      <c r="K11" s="159" t="str">
        <f t="shared" si="5"/>
        <v>WMT</v>
      </c>
      <c r="L11" s="303"/>
      <c r="M11" s="303"/>
      <c r="N11" s="303"/>
      <c r="O11" s="303"/>
    </row>
    <row r="12" spans="2:15">
      <c r="B12" s="282" t="str" cm="1">
        <f t="array" ref="B12:B20">TRANSPOSE(C11:K11)</f>
        <v>IYC</v>
      </c>
      <c r="C12" s="286">
        <f>'Data. Securities'!W7</f>
        <v>1</v>
      </c>
      <c r="D12" s="81"/>
      <c r="E12" s="81"/>
      <c r="F12" s="81"/>
      <c r="G12" s="81"/>
      <c r="H12" s="81"/>
      <c r="I12" s="81"/>
      <c r="J12" s="81"/>
      <c r="K12" s="81"/>
      <c r="L12" s="304"/>
      <c r="M12" s="304"/>
      <c r="N12" s="304"/>
      <c r="O12" s="304"/>
    </row>
    <row r="13" spans="2:15">
      <c r="B13" s="282" t="str">
        <v xml:space="preserve">AMZN </v>
      </c>
      <c r="C13" s="287">
        <f>'Data. Securities'!W8</f>
        <v>0.70670402321754044</v>
      </c>
      <c r="D13" s="81">
        <f>'Data. Securities'!X8</f>
        <v>1</v>
      </c>
      <c r="E13" s="81"/>
      <c r="F13" s="81"/>
      <c r="G13" s="81"/>
      <c r="H13" s="81"/>
      <c r="I13" s="81"/>
      <c r="J13" s="81"/>
      <c r="K13" s="81"/>
      <c r="L13" s="304"/>
      <c r="M13" s="304"/>
      <c r="N13" s="304"/>
      <c r="O13" s="304"/>
    </row>
    <row r="14" spans="2:15">
      <c r="B14" s="282" t="str">
        <v xml:space="preserve">TSLA </v>
      </c>
      <c r="C14" s="287">
        <f>'Data. Securities'!W9</f>
        <v>0.53535364569412469</v>
      </c>
      <c r="D14" s="81">
        <f>'Data. Securities'!X9</f>
        <v>0.37833657525621561</v>
      </c>
      <c r="E14" s="81">
        <f>'Data. Securities'!Y9</f>
        <v>1</v>
      </c>
      <c r="F14" s="81"/>
      <c r="G14" s="81"/>
      <c r="H14" s="81"/>
      <c r="I14" s="81"/>
      <c r="J14" s="81"/>
      <c r="K14" s="81"/>
      <c r="L14" s="304"/>
      <c r="M14" s="304"/>
      <c r="N14" s="304"/>
      <c r="O14" s="304"/>
    </row>
    <row r="15" spans="2:15">
      <c r="B15" s="282" t="str">
        <v>COST</v>
      </c>
      <c r="C15" s="287">
        <f>'Data. Securities'!W10</f>
        <v>0.66689624566230044</v>
      </c>
      <c r="D15" s="81">
        <f>'Data. Securities'!X10</f>
        <v>0.47129825987822094</v>
      </c>
      <c r="E15" s="81">
        <f>'Data. Securities'!Y10</f>
        <v>0.35702533641503714</v>
      </c>
      <c r="F15" s="81">
        <f>'Data. Securities'!Z10</f>
        <v>1</v>
      </c>
      <c r="G15" s="81"/>
      <c r="H15" s="81"/>
      <c r="I15" s="81"/>
      <c r="J15" s="81"/>
      <c r="K15" s="81"/>
      <c r="L15" s="304"/>
      <c r="M15" s="304"/>
      <c r="N15" s="304"/>
      <c r="O15" s="304"/>
    </row>
    <row r="16" spans="2:15">
      <c r="B16" s="282" t="str">
        <v>NFLX</v>
      </c>
      <c r="C16" s="287">
        <f>'Data. Securities'!W11</f>
        <v>0.52929468738152574</v>
      </c>
      <c r="D16" s="81">
        <f>'Data. Securities'!X11</f>
        <v>0.37405468504019457</v>
      </c>
      <c r="E16" s="81">
        <f>'Data. Securities'!Y11</f>
        <v>0.28335984053623181</v>
      </c>
      <c r="F16" s="81">
        <f>'Data. Securities'!Z11</f>
        <v>0.35298463986374051</v>
      </c>
      <c r="G16" s="81">
        <f>'Data. Securities'!AA11</f>
        <v>1</v>
      </c>
      <c r="H16" s="81"/>
      <c r="I16" s="81"/>
      <c r="J16" s="81"/>
      <c r="K16" s="81"/>
      <c r="L16" s="304"/>
      <c r="M16" s="304"/>
      <c r="N16" s="304"/>
      <c r="O16" s="304"/>
    </row>
    <row r="17" spans="2:15">
      <c r="B17" s="282" t="str">
        <v>BKNG</v>
      </c>
      <c r="C17" s="287">
        <f>'Data. Securities'!W12</f>
        <v>0.64490620210191685</v>
      </c>
      <c r="D17" s="81">
        <f>'Data. Securities'!X12</f>
        <v>0.45575780762336887</v>
      </c>
      <c r="E17" s="81">
        <f>'Data. Securities'!Y12</f>
        <v>0.34525288642601315</v>
      </c>
      <c r="F17" s="81">
        <f>'Data. Securities'!Z12</f>
        <v>0.43008552498610109</v>
      </c>
      <c r="G17" s="81">
        <f>'Data. Securities'!AA12</f>
        <v>0.34134542663194112</v>
      </c>
      <c r="H17" s="81">
        <f>'Data. Securities'!AB12</f>
        <v>1</v>
      </c>
      <c r="I17" s="81"/>
      <c r="J17" s="81"/>
      <c r="K17" s="81"/>
      <c r="L17" s="304"/>
      <c r="M17" s="304"/>
      <c r="N17" s="304"/>
      <c r="O17" s="304"/>
    </row>
    <row r="18" spans="2:15">
      <c r="B18" s="282" t="str">
        <v xml:space="preserve">HD </v>
      </c>
      <c r="C18" s="287">
        <f>'Data. Securities'!W13</f>
        <v>0.73116831454264342</v>
      </c>
      <c r="D18" s="81">
        <f>'Data. Securities'!X13</f>
        <v>0.51671958953647423</v>
      </c>
      <c r="E18" s="81">
        <f>'Data. Securities'!Y13</f>
        <v>0.39143362280643262</v>
      </c>
      <c r="F18" s="81">
        <f>'Data. Securities'!Z13</f>
        <v>0.48761340391572089</v>
      </c>
      <c r="G18" s="81">
        <f>'Data. Securities'!AA13</f>
        <v>0.38700350446912551</v>
      </c>
      <c r="H18" s="81">
        <f>'Data. Securities'!AB13</f>
        <v>0.4715349808289559</v>
      </c>
      <c r="I18" s="81">
        <v>1</v>
      </c>
      <c r="J18" s="81"/>
      <c r="K18" s="81"/>
      <c r="L18" s="304"/>
      <c r="M18" s="304"/>
      <c r="N18" s="304"/>
      <c r="O18" s="304"/>
    </row>
    <row r="19" spans="2:15">
      <c r="B19" s="282" t="str">
        <v>SBUX</v>
      </c>
      <c r="C19" s="287">
        <f>'Data. Securities'!W14</f>
        <v>0.5585188973684917</v>
      </c>
      <c r="D19" s="81">
        <f>'Data. Securities'!X14</f>
        <v>0.39470755181333766</v>
      </c>
      <c r="E19" s="81">
        <f>'Data. Securities'!Y14</f>
        <v>0.29900512789528472</v>
      </c>
      <c r="F19" s="81">
        <f>'Data. Securities'!Z14</f>
        <v>0.37247415578649479</v>
      </c>
      <c r="G19" s="81">
        <f>'Data. Securities'!AA14</f>
        <v>0.29562108517933028</v>
      </c>
      <c r="H19" s="81">
        <f>'Data. Securities'!AB14</f>
        <v>0.36019230090406423</v>
      </c>
      <c r="I19" s="81">
        <f>'Data. Securities'!AC14</f>
        <v>0.40837132082913569</v>
      </c>
      <c r="J19" s="81">
        <v>1</v>
      </c>
      <c r="K19" s="81"/>
      <c r="L19" s="304"/>
      <c r="M19" s="304"/>
      <c r="N19" s="304"/>
      <c r="O19" s="304"/>
    </row>
    <row r="20" spans="2:15">
      <c r="B20" s="282" t="str">
        <v>WMT</v>
      </c>
      <c r="C20" s="287">
        <f>'Data. Securities'!W15</f>
        <v>0.45693715707817095</v>
      </c>
      <c r="D20" s="81">
        <f>'Data. Securities'!X15</f>
        <v>0.32291932726472866</v>
      </c>
      <c r="E20" s="81">
        <f>'Data. Securities'!Y15</f>
        <v>0.24462297289490773</v>
      </c>
      <c r="F20" s="81">
        <f>'Data. Securities'!Z15</f>
        <v>0.30472967455903704</v>
      </c>
      <c r="G20" s="81">
        <f>'Data. Securities'!AA15</f>
        <v>0.24185440970869362</v>
      </c>
      <c r="H20" s="81">
        <f>'Data. Securities'!AB15</f>
        <v>0.29468160657053022</v>
      </c>
      <c r="I20" s="81">
        <f>'Data. Securities'!AC15</f>
        <v>0.33409797099275335</v>
      </c>
      <c r="J20" s="81">
        <f>'Data. Securities'!AD15</f>
        <v>0.25520803713799334</v>
      </c>
      <c r="K20" s="81">
        <f>'Data. Securities'!AE15</f>
        <v>1</v>
      </c>
      <c r="L20" s="304"/>
      <c r="M20" s="304"/>
      <c r="N20" s="304"/>
      <c r="O20" s="304"/>
    </row>
    <row r="21" spans="2:15" ht="15" customHeight="1">
      <c r="B21" s="10"/>
      <c r="C21" s="8"/>
      <c r="D21" s="8"/>
      <c r="E21" s="8"/>
      <c r="F21" s="8"/>
      <c r="G21" s="8"/>
      <c r="H21" s="8"/>
      <c r="I21" s="8"/>
    </row>
    <row r="22" spans="2:15">
      <c r="B22" s="160" t="s">
        <v>7</v>
      </c>
      <c r="C22" s="159" t="str">
        <f t="shared" ref="C22:K22" si="6">C4</f>
        <v>IYC</v>
      </c>
      <c r="D22" s="159" t="str">
        <f t="shared" si="6"/>
        <v xml:space="preserve">AMZN </v>
      </c>
      <c r="E22" s="159" t="str">
        <f t="shared" si="6"/>
        <v xml:space="preserve">TSLA </v>
      </c>
      <c r="F22" s="159" t="str">
        <f t="shared" si="6"/>
        <v>COST</v>
      </c>
      <c r="G22" s="159" t="str">
        <f t="shared" si="6"/>
        <v>NFLX</v>
      </c>
      <c r="H22" s="159" t="str">
        <f t="shared" si="6"/>
        <v>BKNG</v>
      </c>
      <c r="I22" s="159" t="str">
        <f t="shared" si="6"/>
        <v xml:space="preserve">HD </v>
      </c>
      <c r="J22" s="159" t="str">
        <f t="shared" si="6"/>
        <v>SBUX</v>
      </c>
      <c r="K22" s="159" t="str">
        <f t="shared" si="6"/>
        <v>WMT</v>
      </c>
      <c r="L22" s="303"/>
      <c r="M22" s="303"/>
      <c r="N22" s="303"/>
      <c r="O22" s="303"/>
    </row>
    <row r="23" spans="2:15">
      <c r="B23" s="282" t="str" cm="1">
        <f t="array" ref="B23:B31">TRANSPOSE(C22:K22)</f>
        <v>IYC</v>
      </c>
      <c r="C23" s="286">
        <f>'Data. Securities'!W23</f>
        <v>3.5799496496043276E-2</v>
      </c>
      <c r="D23" s="285"/>
      <c r="E23" s="285"/>
      <c r="F23" s="285"/>
      <c r="G23" s="285"/>
      <c r="H23" s="285"/>
      <c r="I23" s="285"/>
      <c r="J23" s="285"/>
      <c r="K23" s="285"/>
      <c r="L23" s="304"/>
      <c r="M23" s="304"/>
      <c r="N23" s="304"/>
      <c r="O23" s="304"/>
    </row>
    <row r="24" spans="2:15">
      <c r="B24" s="282" t="str">
        <v xml:space="preserve">AMZN </v>
      </c>
      <c r="C24" s="287">
        <f>'Data. Securities'!W24</f>
        <v>4.1578449678167553E-2</v>
      </c>
      <c r="D24" s="81">
        <f>'Data. Securities'!X24</f>
        <v>9.6690662922770579E-2</v>
      </c>
      <c r="E24" s="81"/>
      <c r="F24" s="81"/>
      <c r="G24" s="81"/>
      <c r="H24" s="81"/>
      <c r="I24" s="81"/>
      <c r="J24" s="81"/>
      <c r="K24" s="81"/>
      <c r="L24" s="304"/>
      <c r="M24" s="304"/>
      <c r="N24" s="304"/>
      <c r="O24" s="304"/>
    </row>
    <row r="25" spans="2:15">
      <c r="B25" s="282" t="str">
        <v xml:space="preserve">TSLA </v>
      </c>
      <c r="C25" s="287">
        <f>'Data. Securities'!W25</f>
        <v>6.3933866422419952E-2</v>
      </c>
      <c r="D25" s="81">
        <f>'Data. Securities'!X25</f>
        <v>7.4254425563473447E-2</v>
      </c>
      <c r="E25" s="81">
        <f>'Data. Securities'!Y25</f>
        <v>0.39838547069083508</v>
      </c>
      <c r="F25" s="81"/>
      <c r="G25" s="81"/>
      <c r="H25" s="81"/>
      <c r="I25" s="81"/>
      <c r="J25" s="81"/>
      <c r="K25" s="81"/>
      <c r="L25" s="304"/>
      <c r="M25" s="304"/>
      <c r="N25" s="304"/>
      <c r="O25" s="304"/>
    </row>
    <row r="26" spans="2:15">
      <c r="B26" s="282" t="str">
        <v>COST</v>
      </c>
      <c r="C26" s="287">
        <f>'Data. Securities'!W26</f>
        <v>2.6489605433874606E-2</v>
      </c>
      <c r="D26" s="81">
        <f>'Data. Securities'!X26</f>
        <v>3.0765704390524052E-2</v>
      </c>
      <c r="E26" s="81">
        <f>'Data. Securities'!Y26</f>
        <v>4.7307450136320532E-2</v>
      </c>
      <c r="F26" s="81">
        <f>'Data. Securities'!Z26</f>
        <v>4.4071467842591569E-2</v>
      </c>
      <c r="G26" s="81"/>
      <c r="H26" s="81"/>
      <c r="I26" s="81"/>
      <c r="J26" s="81"/>
      <c r="K26" s="81"/>
      <c r="L26" s="304"/>
      <c r="M26" s="304"/>
      <c r="N26" s="304"/>
      <c r="O26" s="304"/>
    </row>
    <row r="27" spans="2:15">
      <c r="B27" s="282" t="str">
        <v>NFLX</v>
      </c>
      <c r="C27" s="287">
        <f>'Data. Securities'!W27</f>
        <v>4.1119969477585755E-2</v>
      </c>
      <c r="D27" s="81">
        <f>'Data. Securities'!X27</f>
        <v>4.7757782902911758E-2</v>
      </c>
      <c r="E27" s="81">
        <f>'Data. Securities'!Y27</f>
        <v>7.3435631592319112E-2</v>
      </c>
      <c r="F27" s="81">
        <f>'Data. Securities'!Z27</f>
        <v>4.1119969477585755E-2</v>
      </c>
      <c r="G27" s="81">
        <f>'Data. Securities'!AA27</f>
        <v>0.16859068640343358</v>
      </c>
      <c r="H27" s="81"/>
      <c r="I27" s="81"/>
      <c r="J27" s="81"/>
      <c r="K27" s="81"/>
      <c r="L27" s="304"/>
      <c r="M27" s="304"/>
      <c r="N27" s="304"/>
      <c r="O27" s="304"/>
    </row>
    <row r="28" spans="2:15">
      <c r="B28" s="282" t="str">
        <v>BKNG</v>
      </c>
      <c r="C28" s="287">
        <f>'Data. Securities'!W28</f>
        <v>3.5979270815795876E-2</v>
      </c>
      <c r="D28" s="81">
        <f>'Data. Securities'!X28</f>
        <v>4.178724416520975E-2</v>
      </c>
      <c r="E28" s="81">
        <f>'Data. Securities'!Y28</f>
        <v>6.425492309835712E-2</v>
      </c>
      <c r="F28" s="81">
        <f>'Data. Securities'!Z28</f>
        <v>2.6622628276749393E-2</v>
      </c>
      <c r="G28" s="81">
        <f>'Data. Securities'!AA28</f>
        <v>4.1326461614755831E-2</v>
      </c>
      <c r="H28" s="81">
        <f>'Data. Securities'!AB28</f>
        <v>8.6943013487258053E-2</v>
      </c>
      <c r="I28" s="81"/>
      <c r="J28" s="81"/>
      <c r="K28" s="81"/>
      <c r="L28" s="304"/>
      <c r="M28" s="304"/>
      <c r="N28" s="304"/>
      <c r="O28" s="304"/>
    </row>
    <row r="29" spans="2:15" ht="17">
      <c r="B29" s="10" t="str">
        <v xml:space="preserve">HD </v>
      </c>
      <c r="C29" s="288">
        <f>'Data. Securities'!W29</f>
        <v>3.0550610825527031E-2</v>
      </c>
      <c r="D29" s="9">
        <f>'Data. Securities'!X29</f>
        <v>3.5482259785046134E-2</v>
      </c>
      <c r="E29" s="9">
        <f>'Data. Securities'!Y29</f>
        <v>5.4559948122691077E-2</v>
      </c>
      <c r="F29" s="9">
        <f>'Data. Securities'!Z29</f>
        <v>2.2605726497340928E-2</v>
      </c>
      <c r="G29" s="9">
        <f>'Data. Securities'!AA29</f>
        <v>3.5091001483948739E-2</v>
      </c>
      <c r="H29" s="9">
        <f>'Data. Securities'!AB29</f>
        <v>3.0704026817838334E-2</v>
      </c>
      <c r="I29" s="9">
        <f>'Data. Securities'!AC29</f>
        <v>4.8767237126477757E-2</v>
      </c>
      <c r="J29" s="9"/>
      <c r="K29" s="289"/>
    </row>
    <row r="30" spans="2:15" ht="17">
      <c r="B30" s="10" t="str">
        <v>SBUX</v>
      </c>
      <c r="C30" s="288">
        <f>'Data. Securities'!W30</f>
        <v>2.6324986693699134E-2</v>
      </c>
      <c r="D30" s="9">
        <f>'Data. Securities'!X30</f>
        <v>3.0574511980730645E-2</v>
      </c>
      <c r="E30" s="9">
        <f>'Data. Securities'!Y30</f>
        <v>4.7013459617594407E-2</v>
      </c>
      <c r="F30" s="9">
        <f>'Data. Securities'!Z30</f>
        <v>1.947900330512085E-2</v>
      </c>
      <c r="G30" s="9">
        <f>'Data. Securities'!AA30</f>
        <v>3.023737078152483E-2</v>
      </c>
      <c r="H30" s="9">
        <f>'Data. Securities'!AB30</f>
        <v>2.645718287070065E-2</v>
      </c>
      <c r="I30" s="9">
        <f>'Data. Securities'!AC30</f>
        <v>2.2465243988983717E-2</v>
      </c>
      <c r="J30" s="9">
        <f>'Data. Securities'!AD30</f>
        <v>6.2055982822884159E-2</v>
      </c>
      <c r="K30" s="289"/>
    </row>
    <row r="31" spans="2:15" ht="17">
      <c r="B31" s="10" t="str">
        <v>WMT</v>
      </c>
      <c r="C31" s="288">
        <f>'Data. Securities'!W31</f>
        <v>1.65105715356119E-2</v>
      </c>
      <c r="D31" s="9">
        <f>'Data. Securities'!X31</f>
        <v>1.9175799520730643E-2</v>
      </c>
      <c r="E31" s="9">
        <f>'Data. Securities'!Y31</f>
        <v>2.9486020152051252E-2</v>
      </c>
      <c r="F31" s="9">
        <f>'Data. Securities'!Z31</f>
        <v>1.2216890411139141E-2</v>
      </c>
      <c r="G31" s="9">
        <f>'Data. Securities'!AA31</f>
        <v>1.8964350453277861E-2</v>
      </c>
      <c r="H31" s="9">
        <f>'Data. Securities'!AB31</f>
        <v>1.6593482667249446E-2</v>
      </c>
      <c r="I31" s="9">
        <f>'Data. Securities'!AC31</f>
        <v>1.4089808373345497E-2</v>
      </c>
      <c r="J31" s="9">
        <f>'Data. Securities'!AD31</f>
        <v>1.2140968966655423E-2</v>
      </c>
      <c r="K31" s="9">
        <f>'Data. Securities'!AE31</f>
        <v>3.6469880918057168E-2</v>
      </c>
    </row>
    <row r="32" spans="2:15">
      <c r="B32" s="10"/>
      <c r="C32" s="8"/>
      <c r="D32" s="8"/>
      <c r="E32" s="8"/>
      <c r="F32" s="8"/>
      <c r="G32" s="8"/>
      <c r="H32" s="8"/>
      <c r="I32" s="8"/>
    </row>
    <row r="33" spans="2:15">
      <c r="B33" s="155" t="s">
        <v>8</v>
      </c>
      <c r="C33" s="159" t="str">
        <f t="shared" ref="C33:K33" si="7">C22</f>
        <v>IYC</v>
      </c>
      <c r="D33" s="159" t="str">
        <f t="shared" si="7"/>
        <v xml:space="preserve">AMZN </v>
      </c>
      <c r="E33" s="159" t="str">
        <f t="shared" si="7"/>
        <v xml:space="preserve">TSLA </v>
      </c>
      <c r="F33" s="159" t="str">
        <f t="shared" si="7"/>
        <v>COST</v>
      </c>
      <c r="G33" s="159" t="str">
        <f t="shared" si="7"/>
        <v>NFLX</v>
      </c>
      <c r="H33" s="159" t="str">
        <f t="shared" si="7"/>
        <v>BKNG</v>
      </c>
      <c r="I33" s="159" t="str">
        <f t="shared" si="7"/>
        <v xml:space="preserve">HD </v>
      </c>
      <c r="J33" s="159" t="str">
        <f t="shared" si="7"/>
        <v>SBUX</v>
      </c>
      <c r="K33" s="159" t="str">
        <f t="shared" si="7"/>
        <v>WMT</v>
      </c>
      <c r="L33" s="303"/>
      <c r="M33" s="303"/>
      <c r="N33" s="303"/>
      <c r="O33" s="303"/>
    </row>
    <row r="34" spans="2:15">
      <c r="B34" s="12" t="str">
        <f t="shared" ref="B34:B39" si="8">B23</f>
        <v>IYC</v>
      </c>
      <c r="C34" s="82"/>
      <c r="D34" s="83"/>
      <c r="E34" s="83"/>
      <c r="F34" s="83"/>
      <c r="G34" s="83"/>
      <c r="H34" s="83"/>
      <c r="I34" s="83"/>
      <c r="J34" s="83"/>
      <c r="K34" s="83"/>
      <c r="L34" s="284"/>
      <c r="M34" s="284"/>
      <c r="N34" s="284"/>
      <c r="O34" s="284"/>
    </row>
    <row r="35" spans="2:15">
      <c r="B35" s="12" t="str">
        <f t="shared" si="8"/>
        <v xml:space="preserve">AMZN </v>
      </c>
      <c r="C35" s="82"/>
      <c r="D35" s="83">
        <f>'Data. Securities'!X41</f>
        <v>1</v>
      </c>
      <c r="E35" s="83"/>
      <c r="F35" s="83"/>
      <c r="G35" s="83"/>
      <c r="H35" s="83"/>
      <c r="I35" s="83"/>
      <c r="J35" s="83"/>
      <c r="K35" s="83"/>
      <c r="L35" s="284"/>
      <c r="M35" s="284"/>
      <c r="N35" s="284"/>
      <c r="O35" s="284"/>
    </row>
    <row r="36" spans="2:15">
      <c r="B36" s="12" t="str">
        <f t="shared" si="8"/>
        <v xml:space="preserve">TSLA </v>
      </c>
      <c r="C36" s="82"/>
      <c r="D36" s="83">
        <f>'Data. Securities'!X42</f>
        <v>0.26088773366986939</v>
      </c>
      <c r="E36" s="83">
        <f>'Data. Securities'!Y42</f>
        <v>1</v>
      </c>
      <c r="F36" s="83"/>
      <c r="G36" s="83"/>
      <c r="H36" s="83"/>
      <c r="I36" s="83"/>
      <c r="J36" s="83"/>
      <c r="K36" s="83"/>
      <c r="L36" s="284"/>
      <c r="M36" s="284"/>
      <c r="N36" s="284"/>
      <c r="O36" s="284"/>
    </row>
    <row r="37" spans="2:15">
      <c r="B37" s="12" t="str">
        <f t="shared" si="8"/>
        <v>COST</v>
      </c>
      <c r="C37" s="82"/>
      <c r="D37" s="83">
        <f>'Data. Securities'!X43</f>
        <v>1.9469349236161934E-2</v>
      </c>
      <c r="E37" s="83">
        <f>'Data. Securities'!Y43</f>
        <v>-0.12841119137823837</v>
      </c>
      <c r="F37" s="83">
        <f>'Data. Securities'!Z43</f>
        <v>1</v>
      </c>
      <c r="G37" s="83"/>
      <c r="H37" s="83"/>
      <c r="I37" s="83"/>
      <c r="J37" s="83"/>
      <c r="K37" s="83"/>
      <c r="L37" s="284"/>
      <c r="M37" s="284"/>
      <c r="N37" s="284"/>
      <c r="O37" s="284"/>
    </row>
    <row r="38" spans="2:15">
      <c r="B38" s="12" t="str">
        <f t="shared" si="8"/>
        <v>NFLX</v>
      </c>
      <c r="C38" s="82"/>
      <c r="D38" s="83">
        <f>'Data. Securities'!X44</f>
        <v>0.30830061319002178</v>
      </c>
      <c r="E38" s="83">
        <f>'Data. Securities'!Y44</f>
        <v>-0.10310986291558381</v>
      </c>
      <c r="F38" s="83">
        <f>'Data. Securities'!Z44</f>
        <v>1.7329325611717444E-2</v>
      </c>
      <c r="G38" s="83">
        <f>'Data. Securities'!AA44</f>
        <v>1</v>
      </c>
      <c r="H38" s="83"/>
      <c r="I38" s="83"/>
      <c r="J38" s="83"/>
      <c r="K38" s="83"/>
      <c r="L38" s="284"/>
      <c r="M38" s="284"/>
      <c r="N38" s="284"/>
      <c r="O38" s="284"/>
    </row>
    <row r="39" spans="2:15">
      <c r="B39" s="12" t="str">
        <f t="shared" si="8"/>
        <v>BKNG</v>
      </c>
      <c r="C39" s="82"/>
      <c r="D39" s="83">
        <f>'Data. Securities'!X45</f>
        <v>-0.4065200644133275</v>
      </c>
      <c r="E39" s="83">
        <f>'Data. Securities'!Y45</f>
        <v>-0.17503210884232923</v>
      </c>
      <c r="F39" s="83">
        <f>'Data. Securities'!Z45</f>
        <v>-0.16104883808904011</v>
      </c>
      <c r="G39" s="83">
        <f>'Data. Securities'!AA45</f>
        <v>-0.14038943856314798</v>
      </c>
      <c r="H39" s="83">
        <f>'Data. Securities'!AB45</f>
        <v>1</v>
      </c>
      <c r="I39" s="83"/>
      <c r="J39" s="83"/>
      <c r="K39" s="83"/>
      <c r="L39" s="284"/>
      <c r="M39" s="284"/>
      <c r="N39" s="284"/>
      <c r="O39" s="284"/>
    </row>
    <row r="40" spans="2:15">
      <c r="B40" s="12" t="str">
        <f>B29</f>
        <v xml:space="preserve">HD </v>
      </c>
      <c r="C40" s="82"/>
      <c r="D40" s="83">
        <f>'Data. Securities'!X46</f>
        <v>-0.17725927508150921</v>
      </c>
      <c r="E40" s="83">
        <f>'Data. Securities'!Y46</f>
        <v>-0.11436498724726976</v>
      </c>
      <c r="F40" s="83">
        <f>'Data. Securities'!Z46</f>
        <v>0.10925127554367048</v>
      </c>
      <c r="G40" s="83">
        <f>'Data. Securities'!AA46</f>
        <v>-0.17299556397359095</v>
      </c>
      <c r="H40" s="83">
        <f>'Data. Securities'!AB46</f>
        <v>-0.14972494757725882</v>
      </c>
      <c r="I40" s="83">
        <f>'Data. Securities'!AC46</f>
        <v>1</v>
      </c>
      <c r="J40" s="83"/>
      <c r="K40" s="83"/>
      <c r="L40" s="284"/>
      <c r="M40" s="284"/>
      <c r="N40" s="284"/>
      <c r="O40" s="284"/>
    </row>
    <row r="41" spans="2:15">
      <c r="B41" s="12" t="str">
        <f>B30</f>
        <v>SBUX</v>
      </c>
      <c r="C41" s="82"/>
      <c r="D41" s="83">
        <f>'Data. Securities'!X47</f>
        <v>-0.17951428927160198</v>
      </c>
      <c r="E41" s="83">
        <f>'Data. Securities'!Y47</f>
        <v>-0.24836381776073835</v>
      </c>
      <c r="F41" s="83">
        <f>'Data. Securities'!Z47</f>
        <v>0.10414662709564793</v>
      </c>
      <c r="G41" s="83">
        <f>'Data. Securities'!AA47</f>
        <v>-0.11196058784385297</v>
      </c>
      <c r="H41" s="83">
        <f>'Data. Securities'!AB47</f>
        <v>8.108681414229281E-2</v>
      </c>
      <c r="I41" s="83">
        <f>'Data. Securities'!AC47</f>
        <v>3.0903430663315228E-2</v>
      </c>
      <c r="J41" s="83">
        <f>'Data. Securities'!AD47</f>
        <v>1</v>
      </c>
      <c r="K41" s="83"/>
      <c r="L41" s="284"/>
      <c r="M41" s="284"/>
      <c r="N41" s="284"/>
      <c r="O41" s="284"/>
    </row>
    <row r="42" spans="2:15">
      <c r="B42" s="12" t="str">
        <f>B31</f>
        <v>WMT</v>
      </c>
      <c r="C42" s="82"/>
      <c r="D42" s="83">
        <f>'Data. Securities'!X48</f>
        <v>-0.17013125585920266</v>
      </c>
      <c r="E42" s="83">
        <f>'Data. Securities'!Y48</f>
        <v>-4.7292190160468192E-2</v>
      </c>
      <c r="F42" s="83">
        <f>'Data. Securities'!Z48</f>
        <v>0.3538138716911623</v>
      </c>
      <c r="G42" s="83">
        <f>'Data. Securities'!AA48</f>
        <v>-0.13214637799369311</v>
      </c>
      <c r="H42" s="83">
        <f>'Data. Securities'!AB48</f>
        <v>-0.14690692532261787</v>
      </c>
      <c r="I42" s="83">
        <f>'Data. Securities'!AC48</f>
        <v>2.5872185669744915E-2</v>
      </c>
      <c r="J42" s="83">
        <f>'Data. Securities'!AD48</f>
        <v>-1.4073773898298643E-2</v>
      </c>
      <c r="K42" s="83">
        <f>'Data. Securities'!AE48</f>
        <v>1</v>
      </c>
      <c r="L42" s="284"/>
      <c r="M42" s="284"/>
      <c r="N42" s="284"/>
      <c r="O42" s="284"/>
    </row>
    <row r="43" spans="2:15">
      <c r="B43" s="282"/>
      <c r="C43" s="283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</row>
    <row r="44" spans="2:15" ht="17">
      <c r="B44" s="158" t="s">
        <v>180</v>
      </c>
      <c r="C44" s="154" t="str">
        <f t="shared" ref="C44:K44" si="9">C4</f>
        <v>IYC</v>
      </c>
      <c r="D44" s="154" t="str">
        <f t="shared" si="9"/>
        <v xml:space="preserve">AMZN </v>
      </c>
      <c r="E44" s="154" t="str">
        <f t="shared" si="9"/>
        <v xml:space="preserve">TSLA </v>
      </c>
      <c r="F44" s="154" t="str">
        <f t="shared" si="9"/>
        <v>COST</v>
      </c>
      <c r="G44" s="154" t="str">
        <f t="shared" si="9"/>
        <v>NFLX</v>
      </c>
      <c r="H44" s="154" t="str">
        <f t="shared" si="9"/>
        <v>BKNG</v>
      </c>
      <c r="I44" s="154" t="str">
        <f t="shared" si="9"/>
        <v xml:space="preserve">HD </v>
      </c>
      <c r="J44" s="154" t="str">
        <f t="shared" si="9"/>
        <v>SBUX</v>
      </c>
      <c r="K44" s="154" t="str">
        <f t="shared" si="9"/>
        <v>WMT</v>
      </c>
      <c r="L44" s="305"/>
      <c r="M44" s="305"/>
      <c r="N44" s="305"/>
      <c r="O44" s="305"/>
    </row>
    <row r="45" spans="2:15" s="14" customFormat="1">
      <c r="B45" s="290" t="s">
        <v>108</v>
      </c>
      <c r="C45" s="291">
        <f>'Data. Securities'!F16</f>
        <v>0</v>
      </c>
      <c r="D45" s="291">
        <f>'Data. Securities'!G16</f>
        <v>0.12258895145624051</v>
      </c>
      <c r="E45" s="291">
        <f>'Data. Securities'!H16</f>
        <v>6.7040669316328197E-2</v>
      </c>
      <c r="F45" s="291">
        <f>'Data. Securities'!I16</f>
        <v>5.8475126433532407E-2</v>
      </c>
      <c r="G45" s="291">
        <f>'Data. Securities'!J16</f>
        <v>0.13782410235345918</v>
      </c>
      <c r="H45" s="291">
        <f>'Data. Securities'!K16</f>
        <v>6.8760739280764441E-2</v>
      </c>
      <c r="I45" s="291">
        <f>'Data. Securities'!L16</f>
        <v>4.3231930177903131E-2</v>
      </c>
      <c r="J45" s="291">
        <f>'Data. Securities'!M16</f>
        <v>8.4348087411218499E-3</v>
      </c>
      <c r="K45" s="291">
        <f>'Data. Securities'!N16</f>
        <v>4.4231074714244811E-2</v>
      </c>
      <c r="L45" s="306"/>
      <c r="M45" s="306"/>
      <c r="N45" s="306"/>
      <c r="O45" s="306"/>
    </row>
    <row r="46" spans="2:15">
      <c r="B46" s="292" t="s">
        <v>1</v>
      </c>
      <c r="C46" s="84">
        <f>'Data. Securities'!F17</f>
        <v>1</v>
      </c>
      <c r="D46" s="84">
        <f>'Data. Securities'!G17</f>
        <v>1.1614255435900611</v>
      </c>
      <c r="E46" s="84">
        <f>'Data. Securities'!H17</f>
        <v>1.785887307925859</v>
      </c>
      <c r="F46" s="84">
        <f>'Data. Securities'!I17</f>
        <v>0.73994351950738635</v>
      </c>
      <c r="G46" s="84">
        <f>'Data. Securities'!J17</f>
        <v>1.1486186539559438</v>
      </c>
      <c r="H46" s="84">
        <f>'Data. Securities'!K17</f>
        <v>1.0050216996703423</v>
      </c>
      <c r="I46" s="84">
        <f>'Data. Securities'!L17</f>
        <v>0.85338101972757141</v>
      </c>
      <c r="J46" s="84">
        <f>'Data. Securities'!M17</f>
        <v>0.73534516600278699</v>
      </c>
      <c r="K46" s="84">
        <f>'Data. Securities'!N17</f>
        <v>0.46119563545919495</v>
      </c>
      <c r="L46" s="28"/>
      <c r="M46" s="28"/>
      <c r="N46" s="28"/>
      <c r="O46" s="28"/>
    </row>
    <row r="47" spans="2:15" ht="17" thickBot="1">
      <c r="B47" s="15" t="s">
        <v>131</v>
      </c>
      <c r="C47" s="84">
        <f>C45+C46*$C$48</f>
        <v>7.0319413069192566E-2</v>
      </c>
      <c r="D47" s="85">
        <f>D45+D46*$C$48</f>
        <v>0.20425971400506154</v>
      </c>
      <c r="E47" s="85">
        <f t="shared" ref="E47:H47" si="10">E45+E46*$C$48</f>
        <v>0.19262321661739495</v>
      </c>
      <c r="F47" s="85">
        <f t="shared" si="10"/>
        <v>0.11050752042964446</v>
      </c>
      <c r="G47" s="85">
        <f t="shared" si="10"/>
        <v>0.21859429193996716</v>
      </c>
      <c r="H47" s="85">
        <f t="shared" si="10"/>
        <v>0.13943327532338523</v>
      </c>
      <c r="I47" s="85">
        <f>I45+I46*$C$48</f>
        <v>0.10324118260953499</v>
      </c>
      <c r="J47" s="85">
        <f>J45+J46*$C$48</f>
        <v>6.0143849217705811E-2</v>
      </c>
      <c r="K47" s="85">
        <f>K45+K46*$C$48</f>
        <v>7.6662081109808697E-2</v>
      </c>
      <c r="L47" s="28"/>
      <c r="M47" s="28"/>
      <c r="N47" s="28"/>
      <c r="O47" s="28"/>
    </row>
    <row r="48" spans="2:15" ht="17" thickBot="1">
      <c r="B48" s="16" t="s">
        <v>109</v>
      </c>
      <c r="C48" s="134">
        <f>'Data. Securities'!F7*'Data. Securities'!E27/'Data. Securities'!F27</f>
        <v>7.0319413069192566E-2</v>
      </c>
      <c r="D48" s="17"/>
      <c r="E48" s="17"/>
      <c r="F48" s="17"/>
      <c r="G48" s="17"/>
      <c r="H48" s="17"/>
      <c r="I48" s="17"/>
      <c r="J48" s="17"/>
    </row>
    <row r="49" spans="2:17">
      <c r="B49" s="5"/>
      <c r="C49" s="5"/>
      <c r="D49" s="5"/>
      <c r="E49" s="5"/>
      <c r="F49" s="6"/>
      <c r="G49" s="5"/>
      <c r="H49" s="5"/>
      <c r="I49" s="5"/>
      <c r="J49" s="5"/>
    </row>
    <row r="50" spans="2:17">
      <c r="B50" s="155" t="s">
        <v>9</v>
      </c>
      <c r="C50" s="155"/>
      <c r="D50" s="156"/>
      <c r="E50" s="157" t="s">
        <v>10</v>
      </c>
      <c r="F50" s="154" t="str">
        <f t="shared" ref="F50:J50" si="11">D44</f>
        <v xml:space="preserve">AMZN </v>
      </c>
      <c r="G50" s="154" t="str">
        <f t="shared" si="11"/>
        <v xml:space="preserve">TSLA </v>
      </c>
      <c r="H50" s="154" t="str">
        <f t="shared" si="11"/>
        <v>COST</v>
      </c>
      <c r="I50" s="154" t="str">
        <f t="shared" si="11"/>
        <v>NFLX</v>
      </c>
      <c r="J50" s="154" t="str">
        <f t="shared" si="11"/>
        <v>BKNG</v>
      </c>
      <c r="K50" s="154" t="str">
        <f t="shared" ref="K50" si="12">I44</f>
        <v xml:space="preserve">HD </v>
      </c>
      <c r="L50" s="154" t="str">
        <f t="shared" ref="L50" si="13">J44</f>
        <v>SBUX</v>
      </c>
      <c r="M50" s="154" t="str">
        <f t="shared" ref="M50" si="14">K44</f>
        <v>WMT</v>
      </c>
      <c r="N50" s="305"/>
      <c r="O50" s="305"/>
      <c r="P50" s="305"/>
      <c r="Q50" s="305"/>
    </row>
    <row r="51" spans="2:17" ht="18">
      <c r="B51" s="13" t="s">
        <v>11</v>
      </c>
      <c r="C51" s="18" t="s">
        <v>93</v>
      </c>
      <c r="D51" s="19"/>
      <c r="E51" s="20"/>
      <c r="F51" s="84">
        <f t="shared" ref="F51:M51" si="15">D7^2</f>
        <v>4.8400389403672729E-2</v>
      </c>
      <c r="G51" s="84">
        <f t="shared" si="15"/>
        <v>0.28419925971362398</v>
      </c>
      <c r="H51" s="84">
        <f t="shared" si="15"/>
        <v>2.4470655967488403E-2</v>
      </c>
      <c r="I51" s="84">
        <f t="shared" si="15"/>
        <v>0.12135952241137954</v>
      </c>
      <c r="J51" s="84">
        <f t="shared" si="15"/>
        <v>5.078306557906722E-2</v>
      </c>
      <c r="K51" s="84">
        <f t="shared" si="15"/>
        <v>2.2695925706889348E-2</v>
      </c>
      <c r="L51" s="84">
        <f t="shared" si="15"/>
        <v>4.2698031112584842E-2</v>
      </c>
      <c r="M51" s="84">
        <f t="shared" si="15"/>
        <v>2.8855277386896139E-2</v>
      </c>
      <c r="N51" s="28"/>
      <c r="O51" s="28"/>
      <c r="P51" s="28"/>
      <c r="Q51" s="28"/>
    </row>
    <row r="52" spans="2:17" ht="18">
      <c r="B52" s="13" t="s">
        <v>12</v>
      </c>
      <c r="C52" s="18" t="s">
        <v>94</v>
      </c>
      <c r="D52" s="19"/>
      <c r="E52" s="86">
        <f>SUM(F52:M52)</f>
        <v>11.283218256446521</v>
      </c>
      <c r="F52" s="84">
        <f>D45/F51</f>
        <v>2.5328091977486897</v>
      </c>
      <c r="G52" s="84">
        <f>E45/G51</f>
        <v>0.23589318770176373</v>
      </c>
      <c r="H52" s="84">
        <f t="shared" ref="H52:M52" si="16">F45/H51</f>
        <v>2.3896019179552104</v>
      </c>
      <c r="I52" s="84">
        <f t="shared" si="16"/>
        <v>1.1356678043464006</v>
      </c>
      <c r="J52" s="84">
        <f t="shared" si="16"/>
        <v>1.3540092252545624</v>
      </c>
      <c r="K52" s="84">
        <f t="shared" si="16"/>
        <v>1.9048322036399723</v>
      </c>
      <c r="L52" s="84">
        <f t="shared" si="16"/>
        <v>0.19754561325980602</v>
      </c>
      <c r="M52" s="84">
        <f t="shared" si="16"/>
        <v>1.5328591065401154</v>
      </c>
      <c r="N52" s="28"/>
      <c r="O52" s="28"/>
      <c r="P52" s="28"/>
      <c r="Q52" s="28"/>
    </row>
    <row r="53" spans="2:17" ht="18">
      <c r="B53" s="13" t="s">
        <v>13</v>
      </c>
      <c r="C53" s="21" t="s">
        <v>95</v>
      </c>
      <c r="D53" s="19"/>
      <c r="E53" s="86">
        <f>SUM(F53:M53)</f>
        <v>1</v>
      </c>
      <c r="F53" s="84">
        <f>F52/$E$52</f>
        <v>0.22447577811424518</v>
      </c>
      <c r="G53" s="84">
        <f t="shared" ref="G53:M53" si="17">G52/$E$52</f>
        <v>2.0906551866706046E-2</v>
      </c>
      <c r="H53" s="84">
        <f t="shared" si="17"/>
        <v>0.21178371840763979</v>
      </c>
      <c r="I53" s="84">
        <f t="shared" si="17"/>
        <v>0.10065105349686482</v>
      </c>
      <c r="J53" s="84">
        <f t="shared" si="17"/>
        <v>0.12000204148146888</v>
      </c>
      <c r="K53" s="84">
        <f t="shared" si="17"/>
        <v>0.16881993774707593</v>
      </c>
      <c r="L53" s="84">
        <f t="shared" si="17"/>
        <v>1.7507913856664156E-2</v>
      </c>
      <c r="M53" s="84">
        <f t="shared" si="17"/>
        <v>0.13585300502933514</v>
      </c>
      <c r="N53" s="28"/>
      <c r="O53" s="28"/>
      <c r="P53" s="28"/>
      <c r="Q53" s="28"/>
    </row>
    <row r="54" spans="2:17" ht="19">
      <c r="B54" s="15" t="s">
        <v>14</v>
      </c>
      <c r="C54" s="22" t="s">
        <v>96</v>
      </c>
      <c r="D54" s="23"/>
      <c r="E54" s="24"/>
      <c r="F54" s="85">
        <f>F53^2</f>
        <v>5.0389374959995833E-2</v>
      </c>
      <c r="G54" s="85">
        <f>G53^2</f>
        <v>4.3708391095527004E-4</v>
      </c>
      <c r="H54" s="85">
        <f t="shared" ref="H54:M54" si="18">H53^2</f>
        <v>4.4852343382566467E-2</v>
      </c>
      <c r="I54" s="85">
        <f t="shared" si="18"/>
        <v>1.0130634570028744E-2</v>
      </c>
      <c r="J54" s="85">
        <f t="shared" si="18"/>
        <v>1.4400489959720179E-2</v>
      </c>
      <c r="K54" s="85">
        <f t="shared" si="18"/>
        <v>2.8500171380926594E-2</v>
      </c>
      <c r="L54" s="85">
        <f t="shared" si="18"/>
        <v>3.0652704761237277E-4</v>
      </c>
      <c r="M54" s="85">
        <f t="shared" si="18"/>
        <v>1.845603897550056E-2</v>
      </c>
      <c r="N54" s="28"/>
      <c r="O54" s="28"/>
      <c r="P54" s="28"/>
      <c r="Q54" s="28"/>
    </row>
    <row r="55" spans="2:17" ht="18">
      <c r="B55" s="13" t="s">
        <v>15</v>
      </c>
      <c r="C55" s="18" t="s">
        <v>97</v>
      </c>
      <c r="D55" s="18"/>
      <c r="E55" s="86">
        <f>SUMPRODUCT(D45:K45,F53:M53)</f>
        <v>7.6882501475405776E-2</v>
      </c>
    </row>
    <row r="56" spans="2:17" ht="18">
      <c r="B56" s="13" t="s">
        <v>16</v>
      </c>
      <c r="C56" s="18" t="s">
        <v>98</v>
      </c>
      <c r="D56" s="19"/>
      <c r="E56" s="86">
        <f>SUMPRODUCT(F51:M51,F54:M54)</f>
        <v>6.8138805549985658E-3</v>
      </c>
    </row>
    <row r="57" spans="2:17" ht="18">
      <c r="B57" s="13" t="s">
        <v>17</v>
      </c>
      <c r="C57" s="18" t="s">
        <v>99</v>
      </c>
      <c r="D57" s="19"/>
      <c r="E57" s="86">
        <f>E55/E56</f>
        <v>11.283218256446522</v>
      </c>
    </row>
    <row r="58" spans="2:17" ht="19">
      <c r="B58" s="13" t="s">
        <v>18</v>
      </c>
      <c r="C58" s="25" t="s">
        <v>100</v>
      </c>
      <c r="D58" s="19"/>
      <c r="E58" s="86">
        <f>C47/C6^2</f>
        <v>1.9642570413515337</v>
      </c>
    </row>
    <row r="59" spans="2:17" ht="18">
      <c r="B59" s="13" t="s">
        <v>19</v>
      </c>
      <c r="C59" s="26" t="s">
        <v>101</v>
      </c>
      <c r="D59" s="19"/>
      <c r="E59" s="86">
        <f>E57/E58</f>
        <v>5.7442676894684572</v>
      </c>
    </row>
    <row r="60" spans="2:17" ht="18">
      <c r="B60" s="13" t="s">
        <v>20</v>
      </c>
      <c r="C60" s="18" t="s">
        <v>102</v>
      </c>
      <c r="D60" s="19"/>
      <c r="E60" s="86">
        <f>SUMPRODUCT(D46:K46,F53:M53)</f>
        <v>0.91056787493350821</v>
      </c>
    </row>
    <row r="61" spans="2:17">
      <c r="B61" s="5"/>
      <c r="C61" s="29"/>
      <c r="D61" s="6"/>
      <c r="E61" s="11"/>
      <c r="F61" s="29"/>
      <c r="G61" s="6"/>
      <c r="H61" s="6"/>
      <c r="I61" s="6"/>
      <c r="J61" s="6"/>
    </row>
    <row r="62" spans="2:17">
      <c r="B62" s="155" t="s">
        <v>21</v>
      </c>
      <c r="C62" s="156" t="s">
        <v>22</v>
      </c>
      <c r="D62" s="157" t="str">
        <f>C44</f>
        <v>IYC</v>
      </c>
      <c r="E62" s="156" t="s">
        <v>10</v>
      </c>
      <c r="F62" s="154" t="str">
        <f>F50</f>
        <v xml:space="preserve">AMZN </v>
      </c>
      <c r="G62" s="154" t="str">
        <f t="shared" ref="G62:M62" si="19">G50</f>
        <v xml:space="preserve">TSLA </v>
      </c>
      <c r="H62" s="154" t="str">
        <f t="shared" si="19"/>
        <v>COST</v>
      </c>
      <c r="I62" s="154" t="str">
        <f t="shared" si="19"/>
        <v>NFLX</v>
      </c>
      <c r="J62" s="154" t="str">
        <f t="shared" si="19"/>
        <v>BKNG</v>
      </c>
      <c r="K62" s="154" t="str">
        <f t="shared" si="19"/>
        <v xml:space="preserve">HD </v>
      </c>
      <c r="L62" s="154" t="str">
        <f t="shared" si="19"/>
        <v>SBUX</v>
      </c>
      <c r="M62" s="154" t="str">
        <f t="shared" si="19"/>
        <v>WMT</v>
      </c>
      <c r="N62" s="305"/>
      <c r="O62" s="305"/>
      <c r="P62" s="305"/>
      <c r="Q62" s="305"/>
    </row>
    <row r="63" spans="2:17">
      <c r="B63" s="229" t="s">
        <v>103</v>
      </c>
      <c r="C63" s="87">
        <v>1</v>
      </c>
      <c r="D63" s="223">
        <f>C63-E63</f>
        <v>0</v>
      </c>
      <c r="E63" s="234">
        <v>1</v>
      </c>
      <c r="F63" s="91">
        <f>$E$63*F53</f>
        <v>0.22447577811424518</v>
      </c>
      <c r="G63" s="91">
        <f t="shared" ref="G63:M63" si="20">$E$63*G53</f>
        <v>2.0906551866706046E-2</v>
      </c>
      <c r="H63" s="91">
        <f t="shared" si="20"/>
        <v>0.21178371840763979</v>
      </c>
      <c r="I63" s="91">
        <f t="shared" si="20"/>
        <v>0.10065105349686482</v>
      </c>
      <c r="J63" s="91">
        <f>$E$63*J53</f>
        <v>0.12000204148146888</v>
      </c>
      <c r="K63" s="91">
        <f t="shared" si="20"/>
        <v>0.16881993774707593</v>
      </c>
      <c r="L63" s="91">
        <f t="shared" si="20"/>
        <v>1.7507913856664156E-2</v>
      </c>
      <c r="M63" s="91">
        <f t="shared" si="20"/>
        <v>0.13585300502933514</v>
      </c>
      <c r="N63" s="306"/>
      <c r="O63" s="306"/>
      <c r="P63" s="306"/>
      <c r="Q63" s="306"/>
    </row>
    <row r="64" spans="2:17">
      <c r="B64" s="13" t="s">
        <v>1</v>
      </c>
      <c r="C64" s="88">
        <f>D64*D63+E64*E63</f>
        <v>0.91056787493350821</v>
      </c>
      <c r="D64" s="90">
        <f>1</f>
        <v>1</v>
      </c>
      <c r="E64" s="89">
        <f>SUMPRODUCT(D46:K46,F53:M53)</f>
        <v>0.91056787493350821</v>
      </c>
      <c r="G64" s="8"/>
      <c r="H64" s="8"/>
      <c r="I64" s="8"/>
      <c r="J64" s="8"/>
    </row>
    <row r="65" spans="2:10">
      <c r="B65" s="13" t="s">
        <v>23</v>
      </c>
      <c r="C65" s="88">
        <f>D65*D63+E65*E63</f>
        <v>0.14091310000039203</v>
      </c>
      <c r="D65" s="90">
        <f>C47</f>
        <v>7.0319413069192566E-2</v>
      </c>
      <c r="E65" s="89">
        <f>SUMPRODUCT(D47:K47,F53:M53)</f>
        <v>0.14091310000039203</v>
      </c>
      <c r="G65" s="28"/>
      <c r="H65" s="28"/>
      <c r="I65" s="28"/>
      <c r="J65" s="28"/>
    </row>
    <row r="66" spans="2:10">
      <c r="B66" s="13" t="s">
        <v>24</v>
      </c>
      <c r="C66" s="88">
        <f>SQRT((D63+E63*E60)^2*D66^2+E63^2*E56)</f>
        <v>0.19104045405840908</v>
      </c>
      <c r="D66" s="90">
        <f>C6</f>
        <v>0.18920754872901682</v>
      </c>
      <c r="E66" s="89">
        <f>SQRT(E60^2*C6^2+E56)</f>
        <v>0.19104045405840908</v>
      </c>
    </row>
    <row r="67" spans="2:10">
      <c r="B67" s="15" t="s">
        <v>184</v>
      </c>
      <c r="C67" s="222">
        <f>C65/C66</f>
        <v>0.73760869494850023</v>
      </c>
      <c r="D67" s="223">
        <f>D65/D66</f>
        <v>0.37165225986783473</v>
      </c>
      <c r="E67" s="87">
        <f>E65/E66</f>
        <v>0.73760869494850023</v>
      </c>
    </row>
    <row r="68" spans="2:10">
      <c r="B68" s="230" t="s">
        <v>179</v>
      </c>
      <c r="C68" s="19"/>
      <c r="D68" s="233"/>
      <c r="E68" s="19"/>
    </row>
    <row r="69" spans="2:10">
      <c r="B69" s="224" t="s">
        <v>181</v>
      </c>
      <c r="C69" s="225">
        <f>C65/C64</f>
        <v>0.15475298863435286</v>
      </c>
      <c r="D69" s="228">
        <f>D65/D64</f>
        <v>7.0319413069192566E-2</v>
      </c>
      <c r="E69" s="225">
        <f>E65/E64</f>
        <v>0.15475298863435286</v>
      </c>
    </row>
    <row r="70" spans="2:10">
      <c r="B70" s="13" t="s">
        <v>182</v>
      </c>
      <c r="C70" s="88">
        <f>SUMPRODUCT($D$63*D70+$E$63*E70)</f>
        <v>7.6882501475405776E-2</v>
      </c>
      <c r="D70" s="226">
        <v>0</v>
      </c>
      <c r="E70" s="88">
        <f>E55</f>
        <v>7.6882501475405776E-2</v>
      </c>
    </row>
    <row r="71" spans="2:10">
      <c r="B71" s="15" t="s">
        <v>183</v>
      </c>
      <c r="C71" s="222">
        <f>SUMPRODUCT($D$63*D71+$E$63*E71)</f>
        <v>0.36952218983742585</v>
      </c>
      <c r="D71" s="227">
        <v>0</v>
      </c>
      <c r="E71" s="222">
        <f>(E65-D65)/E66</f>
        <v>0.36952218983742585</v>
      </c>
    </row>
    <row r="72" spans="2:10">
      <c r="B72" s="231" t="s">
        <v>175</v>
      </c>
      <c r="C72" s="225">
        <f t="shared" ref="C72:C79" si="21">SUMPRODUCT($D$63*D72+$E$63*E72)</f>
        <v>0.14091310000039203</v>
      </c>
      <c r="D72" s="228">
        <f>D65</f>
        <v>7.0319413069192566E-2</v>
      </c>
      <c r="E72" s="225">
        <f>E65</f>
        <v>0.14091310000039203</v>
      </c>
    </row>
    <row r="73" spans="2:10">
      <c r="B73" s="231" t="s">
        <v>176</v>
      </c>
      <c r="C73" s="88">
        <f t="shared" si="21"/>
        <v>0.10649059852498624</v>
      </c>
      <c r="D73" s="90">
        <f>5%+$C$48*D64</f>
        <v>0.12031941306919257</v>
      </c>
      <c r="E73" s="89">
        <f>4.246%+$C$48*E64</f>
        <v>0.10649059852498624</v>
      </c>
    </row>
    <row r="74" spans="2:10">
      <c r="B74" s="231" t="s">
        <v>177</v>
      </c>
      <c r="C74" s="88">
        <f t="shared" si="21"/>
        <v>1.0096872737990878</v>
      </c>
      <c r="D74" s="226">
        <f>D66/$D$66</f>
        <v>1</v>
      </c>
      <c r="E74" s="88">
        <f>E66/$D$66</f>
        <v>1.0096872737990878</v>
      </c>
    </row>
    <row r="75" spans="2:10">
      <c r="B75" s="232" t="s">
        <v>178</v>
      </c>
      <c r="C75" s="222">
        <f t="shared" si="21"/>
        <v>0.11346061647698499</v>
      </c>
      <c r="D75" s="227">
        <f>5%+$C$48*D74</f>
        <v>0.12031941306919257</v>
      </c>
      <c r="E75" s="222">
        <f>4.246%+$C$48*E74</f>
        <v>0.11346061647698499</v>
      </c>
    </row>
    <row r="76" spans="2:10">
      <c r="B76" s="231" t="s">
        <v>171</v>
      </c>
      <c r="C76" s="88">
        <f t="shared" si="21"/>
        <v>7.688250147540579E-2</v>
      </c>
      <c r="D76" s="90">
        <f>D65+5%-D73</f>
        <v>0</v>
      </c>
      <c r="E76" s="89">
        <f>E65+4.246%-E73</f>
        <v>7.688250147540579E-2</v>
      </c>
    </row>
    <row r="77" spans="2:10">
      <c r="B77" s="231" t="s">
        <v>172</v>
      </c>
      <c r="C77" s="88">
        <f t="shared" si="21"/>
        <v>-6.9700179519987526E-3</v>
      </c>
      <c r="D77" s="90">
        <f>D73-D75</f>
        <v>0</v>
      </c>
      <c r="E77" s="89">
        <f>E73-E75</f>
        <v>-6.9700179519987526E-3</v>
      </c>
    </row>
    <row r="78" spans="2:10">
      <c r="B78" s="231" t="s">
        <v>173</v>
      </c>
      <c r="C78" s="88">
        <f t="shared" si="21"/>
        <v>8.3852519427404543E-2</v>
      </c>
      <c r="D78" s="90">
        <f>D76-D77</f>
        <v>0</v>
      </c>
      <c r="E78" s="89">
        <f>E76-E77</f>
        <v>8.3852519427404543E-2</v>
      </c>
    </row>
    <row r="79" spans="2:10">
      <c r="B79" s="231" t="s">
        <v>174</v>
      </c>
      <c r="C79" s="88">
        <f t="shared" si="21"/>
        <v>6.4030598524986243E-2</v>
      </c>
      <c r="D79" s="90">
        <f>D72-D76</f>
        <v>7.0319413069192566E-2</v>
      </c>
      <c r="E79" s="89">
        <f>E72-E76</f>
        <v>6.4030598524986243E-2</v>
      </c>
    </row>
  </sheetData>
  <pageMargins left="0.25" right="0.25" top="0.75" bottom="0.75" header="0.3" footer="0.3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7F81-EF02-454B-AFE8-CB8B0B85144A}">
  <sheetPr>
    <pageSetUpPr fitToPage="1"/>
  </sheetPr>
  <dimension ref="B1:BA219"/>
  <sheetViews>
    <sheetView showGridLines="0" tabSelected="1" zoomScale="70" zoomScaleNormal="7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M13" sqref="M13"/>
    </sheetView>
  </sheetViews>
  <sheetFormatPr baseColWidth="10" defaultRowHeight="16"/>
  <cols>
    <col min="1" max="1" width="3.1640625" style="31" customWidth="1"/>
    <col min="2" max="2" width="11.1640625" style="31" customWidth="1"/>
    <col min="3" max="3" width="14" style="31" customWidth="1"/>
    <col min="4" max="9" width="13.33203125" style="31" customWidth="1"/>
    <col min="10" max="10" width="14.83203125" style="31" customWidth="1"/>
    <col min="11" max="28" width="13.33203125" style="31" customWidth="1"/>
    <col min="29" max="29" width="15.33203125" style="31" customWidth="1"/>
    <col min="30" max="50" width="13.33203125" style="31" customWidth="1"/>
    <col min="51" max="51" width="4.6640625" style="31" customWidth="1"/>
    <col min="52" max="52" width="20.1640625" style="31" customWidth="1"/>
    <col min="53" max="16384" width="10.83203125" style="31"/>
  </cols>
  <sheetData>
    <row r="1" spans="2:50" ht="29" customHeight="1"/>
    <row r="2" spans="2:50" ht="33">
      <c r="B2" s="30" t="s">
        <v>26</v>
      </c>
      <c r="D2" s="32"/>
      <c r="E2" s="32"/>
      <c r="F2" s="32"/>
      <c r="G2" s="32"/>
      <c r="H2" s="32"/>
      <c r="I2" s="32"/>
      <c r="J2" s="32"/>
    </row>
    <row r="3" spans="2:50" ht="17" customHeight="1">
      <c r="B3" s="33"/>
      <c r="D3" s="32"/>
      <c r="E3" s="32"/>
      <c r="F3" s="32"/>
      <c r="G3" s="32"/>
      <c r="H3" s="32"/>
      <c r="I3" s="32"/>
      <c r="J3" s="32"/>
    </row>
    <row r="4" spans="2:50" ht="17" customHeight="1">
      <c r="B4" s="34" t="s">
        <v>27</v>
      </c>
      <c r="E4" s="35"/>
      <c r="G4" s="36"/>
      <c r="I4" s="32"/>
      <c r="J4" s="32"/>
      <c r="U4" s="34" t="s">
        <v>28</v>
      </c>
    </row>
    <row r="5" spans="2:50" ht="17" customHeight="1">
      <c r="B5" s="37"/>
      <c r="C5" s="37"/>
      <c r="D5" s="37"/>
      <c r="E5" s="37"/>
      <c r="F5" s="37"/>
      <c r="G5" s="37"/>
      <c r="H5" s="37"/>
      <c r="I5" s="38"/>
      <c r="J5" s="38"/>
      <c r="K5" s="37"/>
      <c r="V5" s="37"/>
    </row>
    <row r="6" spans="2:50" ht="17" customHeight="1">
      <c r="B6" s="39" t="s">
        <v>29</v>
      </c>
      <c r="C6" s="40"/>
      <c r="D6" s="41"/>
      <c r="E6" s="42" t="s">
        <v>30</v>
      </c>
      <c r="F6" s="197" t="s">
        <v>200</v>
      </c>
      <c r="G6" s="43" t="s">
        <v>193</v>
      </c>
      <c r="H6" s="43" t="s">
        <v>194</v>
      </c>
      <c r="I6" s="43" t="s">
        <v>195</v>
      </c>
      <c r="J6" s="43" t="s">
        <v>209</v>
      </c>
      <c r="K6" s="209" t="s">
        <v>196</v>
      </c>
      <c r="L6" s="247" t="s">
        <v>197</v>
      </c>
      <c r="M6" s="247" t="s">
        <v>198</v>
      </c>
      <c r="N6" s="247" t="s">
        <v>199</v>
      </c>
      <c r="O6" s="247" t="s">
        <v>227</v>
      </c>
      <c r="P6" s="302"/>
      <c r="Q6" s="302"/>
      <c r="R6" s="302"/>
      <c r="S6" s="302"/>
      <c r="U6" s="44"/>
      <c r="V6" s="45" t="s">
        <v>31</v>
      </c>
      <c r="W6" s="274" t="str">
        <f t="shared" ref="W6:AB6" si="0">F6</f>
        <v>IYC</v>
      </c>
      <c r="X6" s="275" t="str">
        <f t="shared" si="0"/>
        <v xml:space="preserve">AMZN </v>
      </c>
      <c r="Y6" s="275" t="str">
        <f t="shared" si="0"/>
        <v xml:space="preserve">TSLA </v>
      </c>
      <c r="Z6" s="275" t="str">
        <f t="shared" si="0"/>
        <v>COST</v>
      </c>
      <c r="AA6" s="275" t="str">
        <f t="shared" si="0"/>
        <v>NFLX</v>
      </c>
      <c r="AB6" s="275" t="str">
        <f t="shared" si="0"/>
        <v>BKNG</v>
      </c>
      <c r="AC6" s="275" t="str">
        <f t="shared" ref="AC6" si="1">L6</f>
        <v xml:space="preserve">HD </v>
      </c>
      <c r="AD6" s="275" t="str">
        <f t="shared" ref="AD6" si="2">M6</f>
        <v>SBUX</v>
      </c>
      <c r="AE6" s="276" t="str">
        <f t="shared" ref="AE6" si="3">N6</f>
        <v>WMT</v>
      </c>
      <c r="AF6" s="280"/>
      <c r="AG6" s="280"/>
      <c r="AH6" s="280"/>
      <c r="AI6" s="280"/>
      <c r="AJ6" s="280"/>
    </row>
    <row r="7" spans="2:50" ht="17" customHeight="1">
      <c r="B7" s="46" t="s">
        <v>91</v>
      </c>
      <c r="C7" s="136"/>
      <c r="D7" s="137"/>
      <c r="E7" s="248">
        <v>4.2459999999999998E-2</v>
      </c>
      <c r="F7" s="198">
        <f>AVERAGE(E57:E176)*12</f>
        <v>6.5117413679545211E-2</v>
      </c>
      <c r="G7" s="198">
        <f>AVERAGE(H57:H176)*12</f>
        <v>0.23907910141324909</v>
      </c>
      <c r="H7" s="198">
        <f>AVERAGE(M57:M176)*12</f>
        <v>0.44280844232565475</v>
      </c>
      <c r="I7" s="198">
        <f>AVERAGE(R57:R176)*12</f>
        <v>0.17290167022011582</v>
      </c>
      <c r="J7" s="198">
        <f>AVERAGE(W57:W176)*12</f>
        <v>0.32314709250925494</v>
      </c>
      <c r="K7" s="198">
        <f>AVERAGE(AB57:AB176)*12</f>
        <v>0.13895423573898968</v>
      </c>
      <c r="L7" s="198">
        <f>AVERAGE(AG57:AG176)*12</f>
        <v>9.9386223227152723E-2</v>
      </c>
      <c r="M7" s="198">
        <f>AVERAGE(AL57:AL176)*12</f>
        <v>6.1304652258900513E-2</v>
      </c>
      <c r="N7" s="198">
        <f>AVERAGE(AQ57:AQ176)*12</f>
        <v>9.2672159577868257E-2</v>
      </c>
      <c r="O7" s="138">
        <f>AVERAGE(AX57:AX176)*12</f>
        <v>-4.2807137487422924E-2</v>
      </c>
      <c r="P7" s="294"/>
      <c r="Q7" s="294"/>
      <c r="R7" s="294"/>
      <c r="S7" s="294"/>
      <c r="V7" s="143" t="s">
        <v>200</v>
      </c>
      <c r="W7" s="49">
        <v>1</v>
      </c>
      <c r="X7" s="50"/>
      <c r="Y7" s="50"/>
      <c r="Z7" s="50"/>
      <c r="AA7" s="50"/>
      <c r="AB7" s="50"/>
    </row>
    <row r="8" spans="2:50" ht="17" customHeight="1">
      <c r="B8" s="46" t="s">
        <v>2</v>
      </c>
      <c r="D8" s="51"/>
      <c r="E8" s="48"/>
      <c r="F8" s="199">
        <f>_xlfn.STDEV.S(E57:E176)*SQRT(12)</f>
        <v>0.18920754872901682</v>
      </c>
      <c r="G8" s="199">
        <f>_xlfn.STDEV.S(H57:H176)*SQRT(12)</f>
        <v>0.31095122273882536</v>
      </c>
      <c r="H8" s="199">
        <f>_xlfn.STDEV.S(M57:M176)*SQRT(12)</f>
        <v>0.63117784394799148</v>
      </c>
      <c r="I8" s="199">
        <f>_xlfn.STDEV.S(R57:R176)*SQRT(12)</f>
        <v>0.20993205530026035</v>
      </c>
      <c r="J8" s="199">
        <f>_xlfn.STDEV.S(W57:W176)*SQRT(12)</f>
        <v>0.41059796200594273</v>
      </c>
      <c r="K8" s="199">
        <f>_xlfn.STDEV.S(AB57:AB176)*SQRT(12)</f>
        <v>0.29486100706478308</v>
      </c>
      <c r="L8" s="199">
        <f>_xlfn.STDEV.S(AG57:AG176)*SQRT(12)</f>
        <v>0.22083305261323033</v>
      </c>
      <c r="M8" s="199">
        <f>_xlfn.STDEV.S(AL57:AL176)*SQRT(12)</f>
        <v>0.24911038280827269</v>
      </c>
      <c r="N8" s="199">
        <f>_xlfn.STDEV.S(AQ57:AQ176)*SQRT(12)</f>
        <v>0.19097089023737929</v>
      </c>
      <c r="O8" s="48">
        <f>_xlfn.STDEV.S(AX57:AX176)*SQRT(12)</f>
        <v>2.816540211113773E-2</v>
      </c>
      <c r="P8" s="273"/>
      <c r="Q8" s="273"/>
      <c r="R8" s="273"/>
      <c r="S8" s="273"/>
      <c r="V8" s="144" t="str">
        <f>X6</f>
        <v xml:space="preserve">AMZN </v>
      </c>
      <c r="W8" s="52">
        <f>G18</f>
        <v>0.70670402321754044</v>
      </c>
      <c r="X8" s="52">
        <v>1</v>
      </c>
      <c r="Y8" s="53"/>
      <c r="Z8" s="53"/>
      <c r="AA8" s="53"/>
      <c r="AB8" s="53"/>
    </row>
    <row r="9" spans="2:50" ht="17" customHeight="1">
      <c r="B9" s="54" t="s">
        <v>25</v>
      </c>
      <c r="C9" s="37"/>
      <c r="D9" s="55"/>
      <c r="E9" s="56"/>
      <c r="F9" s="200">
        <f>F7/F8</f>
        <v>0.34415864545027436</v>
      </c>
      <c r="G9" s="200">
        <f t="shared" ref="G9:N9" si="4">G7/G8</f>
        <v>0.76886367999284821</v>
      </c>
      <c r="H9" s="200">
        <f t="shared" si="4"/>
        <v>0.70155891334192932</v>
      </c>
      <c r="I9" s="200">
        <f t="shared" si="4"/>
        <v>0.82360776191524954</v>
      </c>
      <c r="J9" s="200">
        <f t="shared" si="4"/>
        <v>0.78701582182859908</v>
      </c>
      <c r="K9" s="200">
        <f t="shared" si="4"/>
        <v>0.47125334449007172</v>
      </c>
      <c r="L9" s="200">
        <f t="shared" si="4"/>
        <v>0.45005139425944063</v>
      </c>
      <c r="M9" s="200">
        <f t="shared" si="4"/>
        <v>0.24609432801555894</v>
      </c>
      <c r="N9" s="200">
        <f t="shared" si="4"/>
        <v>0.48526851114678032</v>
      </c>
      <c r="O9" s="57">
        <f>O7/O8</f>
        <v>-1.5198482634300918</v>
      </c>
      <c r="P9" s="273"/>
      <c r="Q9" s="273"/>
      <c r="R9" s="273"/>
      <c r="S9" s="273"/>
      <c r="V9" s="144" t="str">
        <f>Y6</f>
        <v xml:space="preserve">TSLA </v>
      </c>
      <c r="W9" s="52">
        <f>H18</f>
        <v>0.53535364569412469</v>
      </c>
      <c r="X9" s="52">
        <f>G18*H18</f>
        <v>0.37833657525621561</v>
      </c>
      <c r="Y9" s="52">
        <v>1</v>
      </c>
      <c r="Z9" s="53"/>
      <c r="AA9" s="53"/>
      <c r="AB9" s="53"/>
    </row>
    <row r="10" spans="2:50" ht="17" customHeight="1">
      <c r="B10" s="46" t="s">
        <v>33</v>
      </c>
      <c r="D10" s="51"/>
      <c r="E10" s="60"/>
      <c r="F10" s="201">
        <v>0</v>
      </c>
      <c r="G10" s="61">
        <f>_xlfn.STDEV.S(J57:J176)*SQRT(12)</f>
        <v>0.22000088500656703</v>
      </c>
      <c r="H10" s="61">
        <f>_xlfn.STDEV.S(O57:O176)*SQRT(12)</f>
        <v>0.53310342309314052</v>
      </c>
      <c r="I10" s="61">
        <f>_xlfn.STDEV.S(T57:T176)*SQRT(12)</f>
        <v>0.15643099426740342</v>
      </c>
      <c r="J10" s="61">
        <f>_xlfn.STDEV.S(Y57:Y176)*SQRT(12)</f>
        <v>0.34836693644974337</v>
      </c>
      <c r="K10" s="61">
        <f>_xlfn.STDEV.S(AD57:AD176)*SQRT(12)</f>
        <v>0.22535098308875251</v>
      </c>
      <c r="L10" s="61">
        <f>_xlfn.STDEV.S(AI57:AI176)*SQRT(12)</f>
        <v>0.15065167010985756</v>
      </c>
      <c r="M10" s="61">
        <f>_xlfn.STDEV.S(AN57:AN176)*SQRT(12)</f>
        <v>0.2066350190857901</v>
      </c>
      <c r="N10" s="61">
        <f>_xlfn.STDEV.S(AS57:AS176)*SQRT(12)</f>
        <v>0.16986841197496413</v>
      </c>
      <c r="O10" s="61"/>
      <c r="P10" s="295"/>
      <c r="Q10" s="295"/>
      <c r="R10" s="295"/>
      <c r="V10" s="144" t="str">
        <f>Z6</f>
        <v>COST</v>
      </c>
      <c r="W10" s="62">
        <f>I18</f>
        <v>0.66689624566230044</v>
      </c>
      <c r="X10" s="62">
        <f>G18*I18</f>
        <v>0.47129825987822094</v>
      </c>
      <c r="Y10" s="62">
        <f>H18*I18</f>
        <v>0.35702533641503714</v>
      </c>
      <c r="Z10" s="62">
        <v>1</v>
      </c>
      <c r="AA10" s="63"/>
      <c r="AB10" s="63"/>
    </row>
    <row r="11" spans="2:50" ht="17" customHeight="1">
      <c r="B11" s="46" t="s">
        <v>34</v>
      </c>
      <c r="D11" s="51"/>
      <c r="E11" s="60"/>
      <c r="F11" s="201">
        <f>F8</f>
        <v>0.18920754872901682</v>
      </c>
      <c r="G11" s="48">
        <f>_xlfn.STDEV.S(I57:I176)*SQRT(12)</f>
        <v>0.21975048013394141</v>
      </c>
      <c r="H11" s="48">
        <f>_xlfn.STDEV.S(N57:N176)*SQRT(12)</f>
        <v>0.33790335983891467</v>
      </c>
      <c r="I11" s="48">
        <f>_xlfn.STDEV.S(S57:S176)*SQRT(12)</f>
        <v>0.14000289952391404</v>
      </c>
      <c r="J11" s="48">
        <f>_xlfn.STDEV.S(X57:X176)*SQRT(12)</f>
        <v>0.217327319939427</v>
      </c>
      <c r="K11" s="48">
        <f>_xlfn.STDEV.S(AC57:AC176)*SQRT(12)</f>
        <v>0.19015769221409565</v>
      </c>
      <c r="L11" s="48">
        <f>_xlfn.STDEV.S(AH57:AH176)*SQRT(12)</f>
        <v>0.16146613087452255</v>
      </c>
      <c r="M11" s="48">
        <f>_xlfn.STDEV.S(AM57:AM176)*SQRT(12)</f>
        <v>0.13913285632911934</v>
      </c>
      <c r="N11" s="48">
        <f>_xlfn.STDEV.S(AR57:AR176)*SQRT(12)</f>
        <v>8.7261695669755501E-2</v>
      </c>
      <c r="O11" s="48"/>
      <c r="P11" s="273"/>
      <c r="Q11" s="273"/>
      <c r="R11" s="273"/>
      <c r="V11" s="144" t="str">
        <f>AA6</f>
        <v>NFLX</v>
      </c>
      <c r="W11" s="182">
        <f>J18</f>
        <v>0.52929468738152574</v>
      </c>
      <c r="X11" s="52">
        <f>G18*J18</f>
        <v>0.37405468504019457</v>
      </c>
      <c r="Y11" s="52">
        <f>H18*J18</f>
        <v>0.28335984053623181</v>
      </c>
      <c r="Z11" s="52">
        <f>I18*J18</f>
        <v>0.35298463986374051</v>
      </c>
      <c r="AA11" s="52">
        <v>1</v>
      </c>
      <c r="AB11" s="53"/>
    </row>
    <row r="12" spans="2:50" ht="17" customHeight="1">
      <c r="B12" s="54" t="s">
        <v>35</v>
      </c>
      <c r="C12" s="37"/>
      <c r="D12" s="55"/>
      <c r="E12" s="56"/>
      <c r="F12" s="202">
        <f>F8^2</f>
        <v>3.5799496496043276E-2</v>
      </c>
      <c r="G12" s="57">
        <f>_xlfn.COVARIANCE.P($E$57:$E$176,H57:H176)*12</f>
        <v>4.1231962597516179E-2</v>
      </c>
      <c r="H12" s="57">
        <f>_xlfn.COVARIANCE.P($E$57:$E$176,M57:M176)*12</f>
        <v>6.3401084202233157E-2</v>
      </c>
      <c r="I12" s="57">
        <f>_xlfn.COVARIANCE.P($E$57:$E$176,R57:R176)*12</f>
        <v>2.6268858721925671E-2</v>
      </c>
      <c r="J12" s="57">
        <f>_xlfn.COVARIANCE.P($E$57:$E$176,W57:W176)*12</f>
        <v>4.0777303065272566E-2</v>
      </c>
      <c r="K12" s="57">
        <f>_xlfn.COVARIANCE.P($E$57:$E$176,AB57:AB176)*12</f>
        <v>3.5679443558997603E-2</v>
      </c>
      <c r="L12" s="57">
        <f>_xlfn.COVARIANCE.P($E$57:$E$176,AG57:AG176)*12</f>
        <v>3.0296022401980989E-2</v>
      </c>
      <c r="M12" s="57">
        <f>_xlfn.COVARIANCE.P($E$57:$E$176,AL57:AL176)*12</f>
        <v>2.6105611804584993E-2</v>
      </c>
      <c r="N12" s="57">
        <f>_xlfn.COVARIANCE.P($E$57:$E$176,AQ57:AQ176)*12</f>
        <v>1.6372983439481816E-2</v>
      </c>
      <c r="O12" s="57"/>
      <c r="P12" s="273"/>
      <c r="Q12" s="273"/>
      <c r="R12" s="273"/>
      <c r="V12" s="144" t="str">
        <f>AB6</f>
        <v>BKNG</v>
      </c>
      <c r="W12" s="182">
        <f>K18</f>
        <v>0.64490620210191685</v>
      </c>
      <c r="X12" s="52">
        <f>G18*K18</f>
        <v>0.45575780762336887</v>
      </c>
      <c r="Y12" s="52">
        <f>H18*K18</f>
        <v>0.34525288642601315</v>
      </c>
      <c r="Z12" s="52">
        <f>I18*K18</f>
        <v>0.43008552498610109</v>
      </c>
      <c r="AA12" s="52">
        <f>J18*K18</f>
        <v>0.34134542663194112</v>
      </c>
      <c r="AB12" s="52">
        <v>1</v>
      </c>
    </row>
    <row r="13" spans="2:50" ht="17" customHeight="1">
      <c r="B13" s="46" t="s">
        <v>92</v>
      </c>
      <c r="D13" s="51"/>
      <c r="E13" s="60"/>
      <c r="F13" s="201">
        <v>0</v>
      </c>
      <c r="G13" s="48">
        <f>INTERCEPT(H57:H176,$E$57:$E$176)*12</f>
        <v>0.1634500738333044</v>
      </c>
      <c r="H13" s="48">
        <f>INTERCEPT(M57:M176,$E$57:$E$176)*12</f>
        <v>0.32651607971039726</v>
      </c>
      <c r="I13" s="48">
        <f>INTERCEPT(R57:R176,$E$57:$E$176)*12</f>
        <v>0.12471846196085472</v>
      </c>
      <c r="J13" s="48">
        <f>INTERCEPT(W57:W176,$E$57:$E$176)*12</f>
        <v>0.24835201645956334</v>
      </c>
      <c r="K13" s="48">
        <f>INTERCEPT(AB57:AB176,$E$57:$E$176)*12</f>
        <v>7.3509821964636374E-2</v>
      </c>
      <c r="L13" s="48">
        <f>INTERCEPT(AG57:AG176,$E$57:$E$176)*12</f>
        <v>4.3816258339280316E-2</v>
      </c>
      <c r="M13" s="48">
        <f>INTERCEPT(AL57:AL176,$E$57:$E$176)*12</f>
        <v>1.3420876887043184E-2</v>
      </c>
      <c r="N13" s="48">
        <f>INTERCEPT(AQ57:AQ176,$E$57:$E$176)*12</f>
        <v>6.2640292596471137E-2</v>
      </c>
      <c r="O13" s="48"/>
      <c r="P13" s="273"/>
      <c r="Q13" s="273"/>
      <c r="R13" s="273"/>
      <c r="V13" s="281" t="s">
        <v>228</v>
      </c>
      <c r="W13" s="52">
        <f>L18</f>
        <v>0.73116831454264342</v>
      </c>
      <c r="X13" s="52">
        <f>G18*L18</f>
        <v>0.51671958953647423</v>
      </c>
      <c r="Y13" s="52">
        <f>H18*L18</f>
        <v>0.39143362280643262</v>
      </c>
      <c r="Z13" s="52">
        <f>I18*L18</f>
        <v>0.48761340391572089</v>
      </c>
      <c r="AA13" s="52">
        <f>J18*L18</f>
        <v>0.38700350446912551</v>
      </c>
      <c r="AB13" s="52">
        <f>K18*L18</f>
        <v>0.4715349808289559</v>
      </c>
      <c r="AC13" s="52">
        <v>1</v>
      </c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4"/>
      <c r="AW13" s="65"/>
      <c r="AX13" s="65"/>
    </row>
    <row r="14" spans="2:50" ht="17" customHeight="1">
      <c r="B14" s="46" t="s">
        <v>132</v>
      </c>
      <c r="D14" s="51"/>
      <c r="E14" s="60"/>
      <c r="F14" s="203">
        <v>0</v>
      </c>
      <c r="G14" s="181">
        <f>G13*$E$27/G27</f>
        <v>0.1267523432201775</v>
      </c>
      <c r="H14" s="181">
        <f>H13*$E$27/H27</f>
        <v>6.8779648811009952E-2</v>
      </c>
      <c r="I14" s="181">
        <f>I13*$E$27/I27</f>
        <v>6.0124052172656789E-2</v>
      </c>
      <c r="J14" s="181">
        <f>J13*$E$27/J27</f>
        <v>0.14083505533045509</v>
      </c>
      <c r="K14" s="181">
        <f t="shared" ref="K14:N14" si="5">K13*$E$27/K27</f>
        <v>7.3399571013058357E-2</v>
      </c>
      <c r="L14" s="181">
        <f t="shared" si="5"/>
        <v>4.7509241025042129E-2</v>
      </c>
      <c r="M14" s="181">
        <f t="shared" si="5"/>
        <v>1.1295763321806573E-2</v>
      </c>
      <c r="N14" s="181">
        <f t="shared" si="5"/>
        <v>4.5789486462915897E-2</v>
      </c>
      <c r="O14" s="181"/>
      <c r="P14" s="296"/>
      <c r="Q14" s="296"/>
      <c r="R14" s="296"/>
      <c r="V14" s="189" t="s">
        <v>198</v>
      </c>
      <c r="W14" s="52">
        <f>M18</f>
        <v>0.5585188973684917</v>
      </c>
      <c r="X14" s="52">
        <f>G18*M18</f>
        <v>0.39470755181333766</v>
      </c>
      <c r="Y14" s="52">
        <f>H18*M18</f>
        <v>0.29900512789528472</v>
      </c>
      <c r="Z14" s="52">
        <f>I18*M18</f>
        <v>0.37247415578649479</v>
      </c>
      <c r="AA14" s="52">
        <f>J18*M18</f>
        <v>0.29562108517933028</v>
      </c>
      <c r="AB14" s="52">
        <f>K18*M18</f>
        <v>0.36019230090406423</v>
      </c>
      <c r="AC14" s="52">
        <f>L18*M18</f>
        <v>0.40837132082913569</v>
      </c>
      <c r="AD14" s="52">
        <v>1</v>
      </c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4"/>
      <c r="AW14" s="65"/>
      <c r="AX14" s="65"/>
    </row>
    <row r="15" spans="2:50" ht="17" customHeight="1">
      <c r="B15" s="46" t="s">
        <v>130</v>
      </c>
      <c r="F15" s="204">
        <v>0</v>
      </c>
      <c r="G15" s="152">
        <f t="shared" ref="G15:N15" si="6">(G7+$E$7-(4.246%+G17*(11.22%-4.246%)))</f>
        <v>0.15808128400327826</v>
      </c>
      <c r="H15" s="152">
        <f t="shared" si="6"/>
        <v>0.31826066147090537</v>
      </c>
      <c r="I15" s="152">
        <f t="shared" si="6"/>
        <v>0.12129800916967069</v>
      </c>
      <c r="J15" s="152">
        <f t="shared" si="6"/>
        <v>0.24304242758236741</v>
      </c>
      <c r="K15" s="152">
        <f t="shared" si="6"/>
        <v>6.8864022403980013E-2</v>
      </c>
      <c r="L15" s="152">
        <f t="shared" si="6"/>
        <v>3.9871430911351896E-2</v>
      </c>
      <c r="M15" s="152">
        <f t="shared" si="6"/>
        <v>1.0021680381866141E-2</v>
      </c>
      <c r="N15" s="152">
        <f t="shared" si="6"/>
        <v>6.0508375960943994E-2</v>
      </c>
      <c r="O15" s="152"/>
      <c r="P15" s="297"/>
      <c r="Q15" s="297"/>
      <c r="R15" s="297"/>
      <c r="V15" s="189" t="s">
        <v>199</v>
      </c>
      <c r="W15" s="52">
        <f>N18</f>
        <v>0.45693715707817095</v>
      </c>
      <c r="X15" s="52">
        <f>G18*N18</f>
        <v>0.32291932726472866</v>
      </c>
      <c r="Y15" s="52">
        <f>H18*N18</f>
        <v>0.24462297289490773</v>
      </c>
      <c r="Z15" s="52">
        <f>I18*N18</f>
        <v>0.30472967455903704</v>
      </c>
      <c r="AA15" s="52">
        <f>J18*N18</f>
        <v>0.24185440970869362</v>
      </c>
      <c r="AB15" s="52">
        <f>K18*N18</f>
        <v>0.29468160657053022</v>
      </c>
      <c r="AC15" s="52">
        <f>L18*N18</f>
        <v>0.33409797099275335</v>
      </c>
      <c r="AD15" s="52">
        <f>M18*N18</f>
        <v>0.25520803713799334</v>
      </c>
      <c r="AE15" s="52">
        <v>1</v>
      </c>
    </row>
    <row r="16" spans="2:50" ht="17" customHeight="1">
      <c r="B16" s="54" t="s">
        <v>133</v>
      </c>
      <c r="C16" s="37"/>
      <c r="D16" s="37"/>
      <c r="E16" s="37"/>
      <c r="F16" s="205">
        <v>0</v>
      </c>
      <c r="G16" s="153">
        <f t="shared" ref="G16" si="7">G15*$E$27/G27</f>
        <v>0.12258895145624051</v>
      </c>
      <c r="H16" s="153">
        <f t="shared" ref="H16:I16" si="8">H15*$E$27/H27</f>
        <v>6.7040669316328197E-2</v>
      </c>
      <c r="I16" s="153">
        <f t="shared" si="8"/>
        <v>5.8475126433532407E-2</v>
      </c>
      <c r="J16" s="153">
        <f>J15*$E$27/J27</f>
        <v>0.13782410235345918</v>
      </c>
      <c r="K16" s="153">
        <f t="shared" ref="K16:N16" si="9">K15*$E$27/K27</f>
        <v>6.8760739280764441E-2</v>
      </c>
      <c r="L16" s="153">
        <f t="shared" si="9"/>
        <v>4.3231930177903131E-2</v>
      </c>
      <c r="M16" s="153">
        <f t="shared" si="9"/>
        <v>8.4348087411218499E-3</v>
      </c>
      <c r="N16" s="153">
        <f t="shared" si="9"/>
        <v>4.4231074714244811E-2</v>
      </c>
      <c r="O16" s="153"/>
      <c r="P16" s="297"/>
      <c r="Q16" s="297"/>
      <c r="R16" s="297"/>
      <c r="V16" s="189"/>
      <c r="W16" s="53"/>
      <c r="X16" s="53"/>
      <c r="Y16" s="53"/>
      <c r="Z16" s="53"/>
      <c r="AA16" s="53"/>
      <c r="AB16" s="53"/>
      <c r="AC16" s="53"/>
      <c r="AD16" s="53"/>
      <c r="AE16" s="53"/>
      <c r="AF16" s="53"/>
    </row>
    <row r="17" spans="2:49" ht="17" customHeight="1">
      <c r="B17" s="46" t="s">
        <v>36</v>
      </c>
      <c r="D17" s="51"/>
      <c r="E17" s="60"/>
      <c r="F17" s="201">
        <v>1</v>
      </c>
      <c r="G17" s="48">
        <f>SLOPE(H57:H176,$E$57:$E$176)</f>
        <v>1.1614255435900611</v>
      </c>
      <c r="H17" s="48">
        <f>SLOPE(M57:M176,$E$57:$E$176)</f>
        <v>1.785887307925859</v>
      </c>
      <c r="I17" s="48">
        <f>SLOPE(R57:R176,$E$57:$E$176)</f>
        <v>0.73994351950738635</v>
      </c>
      <c r="J17" s="48">
        <f>SLOPE(W57:W176,$E$57:$E$176)</f>
        <v>1.1486186539559438</v>
      </c>
      <c r="K17" s="48">
        <f>SLOPE(AB57:AB176,$E$57:$E$176)</f>
        <v>1.0050216996703423</v>
      </c>
      <c r="L17" s="48">
        <f>SLOPE(AG57:AG176,$E$57:$E$176)</f>
        <v>0.85338101972757141</v>
      </c>
      <c r="M17" s="48">
        <f>SLOPE(AL57:AL176,$E$57:$E$176)</f>
        <v>0.73534516600278699</v>
      </c>
      <c r="N17" s="48">
        <f>SLOPE(AQ57:AQ176,$E$57:$E$176)</f>
        <v>0.46119563545919495</v>
      </c>
      <c r="O17" s="48"/>
      <c r="P17" s="273"/>
      <c r="Q17" s="273"/>
      <c r="R17" s="273"/>
      <c r="V17" s="189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</row>
    <row r="18" spans="2:49" ht="17" customHeight="1">
      <c r="B18" s="46" t="s">
        <v>37</v>
      </c>
      <c r="D18" s="51"/>
      <c r="E18" s="60"/>
      <c r="F18" s="201">
        <v>1</v>
      </c>
      <c r="G18" s="48">
        <f>CORREL(H57:H176,$E$57:$E$176)</f>
        <v>0.70670402321754044</v>
      </c>
      <c r="H18" s="48">
        <f>CORREL(M57:M176,$E$57:$E$176)</f>
        <v>0.53535364569412469</v>
      </c>
      <c r="I18" s="48">
        <f>CORREL(R57:R176,$E$57:$E$176)</f>
        <v>0.66689624566230044</v>
      </c>
      <c r="J18" s="48">
        <f>CORREL(W57:W176,$E$57:$E$176)</f>
        <v>0.52929468738152574</v>
      </c>
      <c r="K18" s="48">
        <f>CORREL(AB57:AB176,$E$57:$E$176)</f>
        <v>0.64490620210191685</v>
      </c>
      <c r="L18" s="48">
        <f>CORREL(AG57:AG176,$E$57:$E$176)</f>
        <v>0.73116831454264342</v>
      </c>
      <c r="M18" s="48">
        <f>CORREL(AL57:AL176,$E$57:$E$176)</f>
        <v>0.5585188973684917</v>
      </c>
      <c r="N18" s="48">
        <f>CORREL(AQ57:AQ176,$E$57:$E$176)</f>
        <v>0.45693715707817095</v>
      </c>
      <c r="O18" s="48"/>
      <c r="P18" s="273">
        <f>CORREL(E57:E176,AX57:AX176)</f>
        <v>0.53898048557503608</v>
      </c>
      <c r="Q18" s="273"/>
      <c r="R18" s="273"/>
      <c r="S18" s="273"/>
      <c r="V18" s="189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</row>
    <row r="19" spans="2:49" ht="17" customHeight="1">
      <c r="B19" s="46" t="s">
        <v>38</v>
      </c>
      <c r="D19" s="51"/>
      <c r="E19" s="60"/>
      <c r="F19" s="201">
        <v>1</v>
      </c>
      <c r="G19" s="48">
        <f>G18^2</f>
        <v>0.49943057643185795</v>
      </c>
      <c r="H19" s="48">
        <f t="shared" ref="H19:N19" si="10">H18^2</f>
        <v>0.28660352595799038</v>
      </c>
      <c r="I19" s="48">
        <f t="shared" si="10"/>
        <v>0.44475060247847137</v>
      </c>
      <c r="J19" s="48">
        <f>J18^2</f>
        <v>0.28015286609030704</v>
      </c>
      <c r="K19" s="48">
        <f t="shared" si="10"/>
        <v>0.41590400950951839</v>
      </c>
      <c r="L19" s="48">
        <f t="shared" si="10"/>
        <v>0.53460710419112989</v>
      </c>
      <c r="M19" s="48">
        <f t="shared" si="10"/>
        <v>0.31194335871771578</v>
      </c>
      <c r="N19" s="48">
        <f t="shared" si="10"/>
        <v>0.20879156551868108</v>
      </c>
      <c r="O19" s="48"/>
      <c r="P19" s="273"/>
      <c r="Q19" s="273"/>
      <c r="R19" s="273"/>
      <c r="V19" s="281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</row>
    <row r="20" spans="2:49" ht="18">
      <c r="B20" s="54" t="s">
        <v>39</v>
      </c>
      <c r="C20" s="66"/>
      <c r="D20" s="67"/>
      <c r="E20" s="56"/>
      <c r="F20" s="202">
        <v>1</v>
      </c>
      <c r="G20" s="57">
        <f>1-G19</f>
        <v>0.50056942356814205</v>
      </c>
      <c r="H20" s="57">
        <f t="shared" ref="H20:N20" si="11">1-H19</f>
        <v>0.71339647404200957</v>
      </c>
      <c r="I20" s="57">
        <f t="shared" si="11"/>
        <v>0.55524939752152869</v>
      </c>
      <c r="J20" s="57">
        <f>1-J19</f>
        <v>0.71984713390969302</v>
      </c>
      <c r="K20" s="57">
        <f t="shared" si="11"/>
        <v>0.58409599049048166</v>
      </c>
      <c r="L20" s="57">
        <f t="shared" si="11"/>
        <v>0.46539289580887011</v>
      </c>
      <c r="M20" s="57">
        <f t="shared" si="11"/>
        <v>0.68805664128228416</v>
      </c>
      <c r="N20" s="57">
        <f t="shared" si="11"/>
        <v>0.79120843448131895</v>
      </c>
      <c r="O20" s="57"/>
      <c r="P20" s="273"/>
      <c r="Q20" s="273"/>
      <c r="R20" s="273"/>
      <c r="V20" s="189"/>
    </row>
    <row r="21" spans="2:49">
      <c r="B21" s="46" t="s">
        <v>151</v>
      </c>
      <c r="C21" s="46" t="s">
        <v>149</v>
      </c>
      <c r="D21" s="194"/>
      <c r="F21" s="312" t="s">
        <v>224</v>
      </c>
      <c r="G21" s="192" t="s">
        <v>214</v>
      </c>
      <c r="H21" s="192" t="s">
        <v>214</v>
      </c>
      <c r="I21" s="192" t="s">
        <v>212</v>
      </c>
      <c r="J21" s="192" t="s">
        <v>214</v>
      </c>
      <c r="K21" s="192" t="s">
        <v>214</v>
      </c>
      <c r="L21" s="192" t="s">
        <v>212</v>
      </c>
      <c r="M21" s="192" t="s">
        <v>214</v>
      </c>
      <c r="N21" s="192" t="s">
        <v>212</v>
      </c>
      <c r="O21" s="192"/>
      <c r="P21" s="187" t="s">
        <v>154</v>
      </c>
      <c r="Q21" s="187"/>
      <c r="R21" s="298"/>
    </row>
    <row r="22" spans="2:49" ht="18">
      <c r="C22" s="46" t="s">
        <v>148</v>
      </c>
      <c r="D22" s="195"/>
      <c r="F22" s="313"/>
      <c r="G22" s="192" t="s">
        <v>213</v>
      </c>
      <c r="H22" s="192" t="s">
        <v>213</v>
      </c>
      <c r="I22" s="192" t="s">
        <v>213</v>
      </c>
      <c r="J22" s="192" t="s">
        <v>213</v>
      </c>
      <c r="K22" s="192" t="s">
        <v>213</v>
      </c>
      <c r="L22" s="192" t="s">
        <v>213</v>
      </c>
      <c r="M22" s="192" t="s">
        <v>213</v>
      </c>
      <c r="N22" s="192" t="s">
        <v>213</v>
      </c>
      <c r="O22" s="192"/>
      <c r="P22" s="187" t="s">
        <v>155</v>
      </c>
      <c r="Q22" s="187"/>
      <c r="R22" s="298"/>
      <c r="U22" s="148"/>
      <c r="V22" s="149" t="s">
        <v>32</v>
      </c>
      <c r="W22" s="274" t="str">
        <f t="shared" ref="W22:AE22" si="12">W6</f>
        <v>IYC</v>
      </c>
      <c r="X22" s="275" t="str">
        <f t="shared" si="12"/>
        <v xml:space="preserve">AMZN </v>
      </c>
      <c r="Y22" s="275" t="str">
        <f t="shared" si="12"/>
        <v xml:space="preserve">TSLA </v>
      </c>
      <c r="Z22" s="275" t="str">
        <f t="shared" si="12"/>
        <v>COST</v>
      </c>
      <c r="AA22" s="275" t="str">
        <f t="shared" si="12"/>
        <v>NFLX</v>
      </c>
      <c r="AB22" s="275" t="str">
        <f t="shared" si="12"/>
        <v>BKNG</v>
      </c>
      <c r="AC22" s="275" t="str">
        <f t="shared" si="12"/>
        <v xml:space="preserve">HD </v>
      </c>
      <c r="AD22" s="275" t="str">
        <f t="shared" si="12"/>
        <v>SBUX</v>
      </c>
      <c r="AE22" s="276" t="str">
        <f t="shared" si="12"/>
        <v>WMT</v>
      </c>
      <c r="AF22" s="280"/>
      <c r="AG22" s="280"/>
      <c r="AH22" s="280"/>
      <c r="AI22" s="280"/>
    </row>
    <row r="23" spans="2:49" ht="34">
      <c r="C23" s="46" t="s">
        <v>152</v>
      </c>
      <c r="D23" s="51"/>
      <c r="F23" s="313"/>
      <c r="G23" s="271" t="s">
        <v>215</v>
      </c>
      <c r="H23" s="271" t="s">
        <v>215</v>
      </c>
      <c r="I23" s="271" t="s">
        <v>216</v>
      </c>
      <c r="J23" s="271" t="s">
        <v>217</v>
      </c>
      <c r="K23" s="271" t="s">
        <v>215</v>
      </c>
      <c r="L23" s="271" t="s">
        <v>215</v>
      </c>
      <c r="M23" s="271" t="s">
        <v>215</v>
      </c>
      <c r="N23" s="271" t="s">
        <v>216</v>
      </c>
      <c r="O23" s="271"/>
      <c r="P23" s="187" t="s">
        <v>156</v>
      </c>
      <c r="Q23" s="187"/>
      <c r="R23" s="299"/>
      <c r="V23" s="143" t="s">
        <v>200</v>
      </c>
      <c r="W23" s="49">
        <f>F8^2</f>
        <v>3.5799496496043276E-2</v>
      </c>
      <c r="X23" s="50"/>
      <c r="Y23" s="50"/>
      <c r="Z23" s="50"/>
      <c r="AA23" s="50"/>
      <c r="AB23" s="50"/>
    </row>
    <row r="24" spans="2:49">
      <c r="B24" s="37"/>
      <c r="C24" s="46" t="s">
        <v>153</v>
      </c>
      <c r="D24" s="196"/>
      <c r="E24" s="37"/>
      <c r="F24" s="314"/>
      <c r="G24" s="193" t="s">
        <v>218</v>
      </c>
      <c r="H24" s="193" t="s">
        <v>219</v>
      </c>
      <c r="I24" s="193" t="s">
        <v>220</v>
      </c>
      <c r="J24" s="193" t="s">
        <v>221</v>
      </c>
      <c r="K24" s="193" t="s">
        <v>222</v>
      </c>
      <c r="L24" s="193" t="s">
        <v>220</v>
      </c>
      <c r="M24" s="193" t="s">
        <v>220</v>
      </c>
      <c r="N24" s="193" t="s">
        <v>220</v>
      </c>
      <c r="O24" s="193"/>
      <c r="P24" s="187" t="s">
        <v>157</v>
      </c>
      <c r="Q24" s="187"/>
      <c r="R24" s="298"/>
      <c r="V24" s="144" t="str">
        <f>X22</f>
        <v xml:space="preserve">AMZN </v>
      </c>
      <c r="W24" s="52">
        <f>G17*1*W23</f>
        <v>4.1578449678167553E-2</v>
      </c>
      <c r="X24" s="52">
        <f>G8^2</f>
        <v>9.6690662922770579E-2</v>
      </c>
      <c r="Y24" s="53"/>
      <c r="Z24" s="53"/>
      <c r="AA24" s="53"/>
      <c r="AB24" s="53"/>
    </row>
    <row r="25" spans="2:49">
      <c r="B25" s="46" t="s">
        <v>150</v>
      </c>
      <c r="C25" s="47" t="s">
        <v>211</v>
      </c>
      <c r="D25" s="68"/>
      <c r="E25" s="180"/>
      <c r="F25" s="201"/>
      <c r="G25" s="185">
        <v>190.26</v>
      </c>
      <c r="H25" s="185">
        <v>259.16000000000003</v>
      </c>
      <c r="I25" s="185">
        <v>945.78</v>
      </c>
      <c r="J25" s="185">
        <v>932.52</v>
      </c>
      <c r="K25" s="48">
        <v>4606.91</v>
      </c>
      <c r="L25" s="48">
        <v>366.49</v>
      </c>
      <c r="M25" s="48">
        <v>98.09</v>
      </c>
      <c r="N25" s="48">
        <v>87.79</v>
      </c>
      <c r="O25" s="48"/>
      <c r="P25" s="273"/>
      <c r="Q25" s="273"/>
      <c r="R25" s="273"/>
      <c r="V25" s="144" t="str">
        <f>Y22</f>
        <v xml:space="preserve">TSLA </v>
      </c>
      <c r="W25" s="52">
        <f>$H$17*$W$23</f>
        <v>6.3933866422419952E-2</v>
      </c>
      <c r="X25" s="52">
        <f>$H$17*G17*$W$23</f>
        <v>7.4254425563473447E-2</v>
      </c>
      <c r="Y25" s="52">
        <f>H8^2</f>
        <v>0.39838547069083508</v>
      </c>
      <c r="Z25" s="53"/>
      <c r="AA25" s="53"/>
      <c r="AB25" s="53"/>
    </row>
    <row r="26" spans="2:49">
      <c r="C26" s="46" t="s">
        <v>41</v>
      </c>
      <c r="D26" s="51"/>
      <c r="E26" s="180"/>
      <c r="F26" s="199"/>
      <c r="G26" s="185">
        <v>5.54</v>
      </c>
      <c r="H26" s="185">
        <v>2.0499999999999998</v>
      </c>
      <c r="I26" s="185">
        <v>17.12</v>
      </c>
      <c r="J26" s="185">
        <v>19.86</v>
      </c>
      <c r="K26" s="48">
        <v>172.76</v>
      </c>
      <c r="L26" s="48">
        <v>14.92</v>
      </c>
      <c r="M26" s="48">
        <v>3.1</v>
      </c>
      <c r="N26" s="48">
        <v>2.41</v>
      </c>
      <c r="O26" s="48"/>
      <c r="P26" s="273"/>
      <c r="Q26" s="273"/>
      <c r="R26" s="273"/>
      <c r="V26" s="144" t="str">
        <f>Z22</f>
        <v>COST</v>
      </c>
      <c r="W26" s="62">
        <f>$I$17*1*$W$23</f>
        <v>2.6489605433874606E-2</v>
      </c>
      <c r="X26" s="62">
        <f>$I$17*G17*$W$23</f>
        <v>3.0765704390524052E-2</v>
      </c>
      <c r="Y26" s="62">
        <f>$I$17*H17*$W$23</f>
        <v>4.7307450136320532E-2</v>
      </c>
      <c r="Z26" s="62">
        <f>I8^2</f>
        <v>4.4071467842591569E-2</v>
      </c>
      <c r="AA26" s="63"/>
      <c r="AB26" s="63"/>
      <c r="AW26" s="70"/>
    </row>
    <row r="27" spans="2:49">
      <c r="C27" s="46" t="s">
        <v>42</v>
      </c>
      <c r="E27" s="48">
        <v>26.63</v>
      </c>
      <c r="F27" s="199">
        <v>24.66</v>
      </c>
      <c r="G27" s="48">
        <v>34.340000000000003</v>
      </c>
      <c r="H27" s="48">
        <v>126.42</v>
      </c>
      <c r="I27" s="48">
        <v>55.24</v>
      </c>
      <c r="J27" s="48">
        <v>46.96</v>
      </c>
      <c r="K27" s="48">
        <v>26.67</v>
      </c>
      <c r="L27" s="48">
        <v>24.56</v>
      </c>
      <c r="M27" s="48">
        <v>31.64</v>
      </c>
      <c r="N27" s="48">
        <v>36.43</v>
      </c>
      <c r="O27" s="48"/>
      <c r="P27" s="273"/>
      <c r="Q27" s="273"/>
      <c r="R27" s="273"/>
      <c r="V27" s="144" t="str">
        <f>AA22</f>
        <v>NFLX</v>
      </c>
      <c r="W27" s="182">
        <f>$J$17*$W$23</f>
        <v>4.1119969477585755E-2</v>
      </c>
      <c r="X27" s="52">
        <f>$J$17*$W$23*G17</f>
        <v>4.7757782902911758E-2</v>
      </c>
      <c r="Y27" s="52">
        <f>$J$17*$W$23*H17</f>
        <v>7.3435631592319112E-2</v>
      </c>
      <c r="Z27" s="52">
        <f>$J$17*$W$23</f>
        <v>4.1119969477585755E-2</v>
      </c>
      <c r="AA27" s="52">
        <f>J8^2</f>
        <v>0.16859068640343358</v>
      </c>
      <c r="AB27" s="53"/>
      <c r="AW27" s="70"/>
    </row>
    <row r="28" spans="2:49">
      <c r="C28" s="46" t="s">
        <v>43</v>
      </c>
      <c r="D28" s="51"/>
      <c r="E28" s="180"/>
      <c r="F28" s="199"/>
      <c r="G28" s="185"/>
      <c r="H28" s="185"/>
      <c r="I28" s="185">
        <v>4.6399999999999997</v>
      </c>
      <c r="J28" s="185"/>
      <c r="K28" s="48">
        <v>38.4</v>
      </c>
      <c r="L28" s="48">
        <v>9.1999999999999993</v>
      </c>
      <c r="M28" s="48">
        <v>2.44</v>
      </c>
      <c r="N28" s="48">
        <v>0.94</v>
      </c>
      <c r="O28" s="48"/>
      <c r="P28" s="273"/>
      <c r="Q28" s="273"/>
      <c r="R28" s="273"/>
      <c r="V28" s="144" t="str">
        <f>AB22</f>
        <v>BKNG</v>
      </c>
      <c r="W28" s="182">
        <f>$K$17*$W$23</f>
        <v>3.5979270815795876E-2</v>
      </c>
      <c r="X28" s="52">
        <f>$K$17*$W$23*G17</f>
        <v>4.178724416520975E-2</v>
      </c>
      <c r="Y28" s="52">
        <f>$K$17*$W$23*H17</f>
        <v>6.425492309835712E-2</v>
      </c>
      <c r="Z28" s="52">
        <f>$K$17*$W$23*I17</f>
        <v>2.6622628276749393E-2</v>
      </c>
      <c r="AA28" s="52">
        <f>$K$17*$W$23*J17</f>
        <v>4.1326461614755831E-2</v>
      </c>
      <c r="AB28" s="52">
        <f>K8^2</f>
        <v>8.6943013487258053E-2</v>
      </c>
      <c r="AW28" s="70"/>
    </row>
    <row r="29" spans="2:49" ht="17">
      <c r="C29" s="46" t="s">
        <v>44</v>
      </c>
      <c r="D29" s="51"/>
      <c r="F29" s="206"/>
      <c r="G29" s="185"/>
      <c r="H29" s="186"/>
      <c r="I29" s="186">
        <v>4.8999999999999998E-3</v>
      </c>
      <c r="J29" s="186"/>
      <c r="K29" s="246">
        <v>8.3000000000000001E-3</v>
      </c>
      <c r="L29" s="246">
        <v>2.5100000000000001E-2</v>
      </c>
      <c r="M29" s="246">
        <v>2.4899999999999999E-2</v>
      </c>
      <c r="N29" s="246">
        <v>1.0699999999999999E-2</v>
      </c>
      <c r="O29" s="246"/>
      <c r="P29" s="300"/>
      <c r="Q29" s="300"/>
      <c r="R29" s="300"/>
      <c r="V29" s="281" t="s">
        <v>228</v>
      </c>
      <c r="W29" s="182">
        <f>$L$17*$W$23</f>
        <v>3.0550610825527031E-2</v>
      </c>
      <c r="X29" s="52">
        <f>$L$17*$W$23*G17</f>
        <v>3.5482259785046134E-2</v>
      </c>
      <c r="Y29" s="52">
        <f>$L$17*$W$23*H17</f>
        <v>5.4559948122691077E-2</v>
      </c>
      <c r="Z29" s="52">
        <f>$L$17*$W$23*I17</f>
        <v>2.2605726497340928E-2</v>
      </c>
      <c r="AA29" s="52">
        <f>$L$17*$W$23*J17</f>
        <v>3.5091001483948739E-2</v>
      </c>
      <c r="AB29" s="52">
        <f>$L$17*$W$23*K17</f>
        <v>3.0704026817838334E-2</v>
      </c>
      <c r="AC29" s="52">
        <f>L8^2</f>
        <v>4.8767237126477757E-2</v>
      </c>
      <c r="AW29" s="70"/>
    </row>
    <row r="30" spans="2:49">
      <c r="C30" s="46" t="s">
        <v>147</v>
      </c>
      <c r="D30" s="51"/>
      <c r="F30" s="206"/>
      <c r="G30" s="187">
        <v>264.58999999999997</v>
      </c>
      <c r="H30" s="187">
        <v>329.91</v>
      </c>
      <c r="I30" s="187">
        <v>1063.1600000000001</v>
      </c>
      <c r="J30" s="187">
        <v>1073.96</v>
      </c>
      <c r="K30" s="187">
        <v>5636.98</v>
      </c>
      <c r="L30" s="187">
        <v>431.5</v>
      </c>
      <c r="M30" s="187">
        <v>107.51</v>
      </c>
      <c r="N30" s="187">
        <v>108.11</v>
      </c>
      <c r="O30" s="187"/>
      <c r="V30" s="144" t="s">
        <v>198</v>
      </c>
      <c r="W30" s="52">
        <f>$M$17*$W$23</f>
        <v>2.6324986693699134E-2</v>
      </c>
      <c r="X30" s="52">
        <f t="shared" ref="X30:AC30" si="13">$M$17*$W$23*G17</f>
        <v>3.0574511980730645E-2</v>
      </c>
      <c r="Y30" s="52">
        <f t="shared" si="13"/>
        <v>4.7013459617594407E-2</v>
      </c>
      <c r="Z30" s="52">
        <f t="shared" si="13"/>
        <v>1.947900330512085E-2</v>
      </c>
      <c r="AA30" s="52">
        <f t="shared" si="13"/>
        <v>3.023737078152483E-2</v>
      </c>
      <c r="AB30" s="52">
        <f t="shared" si="13"/>
        <v>2.645718287070065E-2</v>
      </c>
      <c r="AC30" s="52">
        <f t="shared" si="13"/>
        <v>2.2465243988983717E-2</v>
      </c>
      <c r="AD30" s="52">
        <f>M8^2</f>
        <v>6.2055982822884159E-2</v>
      </c>
      <c r="AW30" s="70"/>
    </row>
    <row r="31" spans="2:49">
      <c r="C31" s="54" t="s">
        <v>146</v>
      </c>
      <c r="D31" s="55"/>
      <c r="E31" s="37"/>
      <c r="F31" s="207"/>
      <c r="G31" s="188">
        <f>(G30-G25)/G25</f>
        <v>0.39067591716598332</v>
      </c>
      <c r="H31" s="188">
        <f t="shared" ref="H31:N31" si="14">(H30-H25)/H25</f>
        <v>0.27299737613829295</v>
      </c>
      <c r="I31" s="188">
        <f t="shared" si="14"/>
        <v>0.12410920087123867</v>
      </c>
      <c r="J31" s="188">
        <f t="shared" si="14"/>
        <v>0.15167503109852878</v>
      </c>
      <c r="K31" s="188">
        <f t="shared" si="14"/>
        <v>0.2235923862198306</v>
      </c>
      <c r="L31" s="188">
        <f t="shared" si="14"/>
        <v>0.17738546754345272</v>
      </c>
      <c r="M31" s="188">
        <f t="shared" si="14"/>
        <v>9.6034254256295248E-2</v>
      </c>
      <c r="N31" s="188">
        <f t="shared" si="14"/>
        <v>0.23146144207768529</v>
      </c>
      <c r="O31" s="188"/>
      <c r="P31" s="300"/>
      <c r="Q31" s="300"/>
      <c r="R31" s="300"/>
      <c r="V31" s="144" t="s">
        <v>199</v>
      </c>
      <c r="W31" s="52">
        <f>$N$17*$W$23</f>
        <v>1.65105715356119E-2</v>
      </c>
      <c r="X31" s="52">
        <f t="shared" ref="X31:AD31" si="15">$N$17*$W$23*G17</f>
        <v>1.9175799520730643E-2</v>
      </c>
      <c r="Y31" s="52">
        <f t="shared" si="15"/>
        <v>2.9486020152051252E-2</v>
      </c>
      <c r="Z31" s="52">
        <f t="shared" si="15"/>
        <v>1.2216890411139141E-2</v>
      </c>
      <c r="AA31" s="52">
        <f t="shared" si="15"/>
        <v>1.8964350453277861E-2</v>
      </c>
      <c r="AB31" s="52">
        <f t="shared" si="15"/>
        <v>1.6593482667249446E-2</v>
      </c>
      <c r="AC31" s="52">
        <f t="shared" si="15"/>
        <v>1.4089808373345497E-2</v>
      </c>
      <c r="AD31" s="52">
        <f t="shared" si="15"/>
        <v>1.2140968966655423E-2</v>
      </c>
      <c r="AE31" s="52">
        <f>N8^2</f>
        <v>3.6469880918057168E-2</v>
      </c>
      <c r="AW31" s="70"/>
    </row>
    <row r="32" spans="2:49">
      <c r="B32" s="190" t="s">
        <v>86</v>
      </c>
      <c r="C32" s="44"/>
      <c r="D32" s="44"/>
      <c r="E32" s="44"/>
      <c r="F32" s="208">
        <f>'Security Allocation'!D63</f>
        <v>0</v>
      </c>
      <c r="G32" s="191">
        <f>'Security Allocation'!F63</f>
        <v>0.22447577811424518</v>
      </c>
      <c r="H32" s="191">
        <f>'Security Allocation'!G63</f>
        <v>2.0906551866706046E-2</v>
      </c>
      <c r="I32" s="191">
        <f>'Security Allocation'!H63</f>
        <v>0.21178371840763979</v>
      </c>
      <c r="J32" s="191">
        <f>'Security Allocation'!I63</f>
        <v>0.10065105349686482</v>
      </c>
      <c r="K32" s="208">
        <f>'Security Allocation'!J63</f>
        <v>0.12000204148146888</v>
      </c>
      <c r="L32" s="208">
        <f>'Security Allocation'!K63</f>
        <v>0.16881993774707593</v>
      </c>
      <c r="M32" s="208">
        <f>'Security Allocation'!L63</f>
        <v>1.7507913856664156E-2</v>
      </c>
      <c r="N32" s="208">
        <f>'Security Allocation'!M63</f>
        <v>0.13585300502933514</v>
      </c>
      <c r="O32" s="191">
        <f>'Security Allocation'!N63</f>
        <v>0</v>
      </c>
      <c r="P32" s="301">
        <f>'Security Allocation'!O63</f>
        <v>0</v>
      </c>
      <c r="Q32" s="301">
        <f>'Security Allocation'!P63</f>
        <v>0</v>
      </c>
      <c r="R32" s="301">
        <f>'Security Allocation'!Q63</f>
        <v>0</v>
      </c>
      <c r="V32" s="189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W32" s="70"/>
    </row>
    <row r="33" spans="21:49">
      <c r="V33" s="189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W33" s="70"/>
    </row>
    <row r="34" spans="21:49">
      <c r="V34" s="189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W34" s="70"/>
    </row>
    <row r="35" spans="21:49">
      <c r="V35" s="281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W35" s="70"/>
    </row>
    <row r="36" spans="21:49">
      <c r="V36" s="189"/>
      <c r="AW36" s="70"/>
    </row>
    <row r="37" spans="21:49">
      <c r="AW37" s="70"/>
    </row>
    <row r="38" spans="21:49">
      <c r="AW38" s="70"/>
    </row>
    <row r="39" spans="21:49" ht="18">
      <c r="U39" s="150"/>
      <c r="V39" s="149" t="s">
        <v>40</v>
      </c>
      <c r="W39" s="277" t="str">
        <f t="shared" ref="W39:AE39" si="16">W6</f>
        <v>IYC</v>
      </c>
      <c r="X39" s="278" t="str">
        <f t="shared" si="16"/>
        <v xml:space="preserve">AMZN </v>
      </c>
      <c r="Y39" s="278" t="str">
        <f t="shared" si="16"/>
        <v xml:space="preserve">TSLA </v>
      </c>
      <c r="Z39" s="278" t="str">
        <f t="shared" si="16"/>
        <v>COST</v>
      </c>
      <c r="AA39" s="278" t="str">
        <f t="shared" si="16"/>
        <v>NFLX</v>
      </c>
      <c r="AB39" s="278" t="str">
        <f t="shared" si="16"/>
        <v>BKNG</v>
      </c>
      <c r="AC39" s="278" t="str">
        <f t="shared" si="16"/>
        <v xml:space="preserve">HD </v>
      </c>
      <c r="AD39" s="278" t="str">
        <f t="shared" si="16"/>
        <v>SBUX</v>
      </c>
      <c r="AE39" s="279" t="str">
        <f t="shared" si="16"/>
        <v>WMT</v>
      </c>
      <c r="AF39" s="293"/>
      <c r="AG39" s="293"/>
      <c r="AH39" s="293"/>
      <c r="AI39" s="293"/>
      <c r="AJ39" s="293"/>
      <c r="AW39" s="70"/>
    </row>
    <row r="40" spans="21:49" ht="17">
      <c r="V40" s="143" t="s">
        <v>200</v>
      </c>
      <c r="W40" s="59"/>
      <c r="X40" s="50"/>
      <c r="Y40" s="50"/>
      <c r="Z40" s="50"/>
      <c r="AA40" s="50"/>
      <c r="AB40" s="50"/>
      <c r="AW40" s="70"/>
    </row>
    <row r="41" spans="21:49">
      <c r="V41" s="144" t="str">
        <f>X39</f>
        <v xml:space="preserve">AMZN </v>
      </c>
      <c r="W41" s="53"/>
      <c r="X41" s="52">
        <v>1</v>
      </c>
      <c r="Y41" s="53"/>
      <c r="Z41" s="53"/>
      <c r="AA41" s="53"/>
      <c r="AB41" s="53"/>
      <c r="AC41" s="58"/>
      <c r="AW41" s="70"/>
    </row>
    <row r="42" spans="21:49">
      <c r="V42" s="144" t="str">
        <f>Y39</f>
        <v xml:space="preserve">TSLA </v>
      </c>
      <c r="W42" s="53"/>
      <c r="X42" s="52">
        <f>CORREL(J57:J115,O57:O115)</f>
        <v>0.26088773366986939</v>
      </c>
      <c r="Y42" s="52">
        <v>1</v>
      </c>
      <c r="Z42" s="53"/>
      <c r="AA42" s="53"/>
      <c r="AB42" s="53"/>
      <c r="AC42" s="58"/>
      <c r="AW42" s="70"/>
    </row>
    <row r="43" spans="21:49">
      <c r="V43" s="144" t="str">
        <f>Z39</f>
        <v>COST</v>
      </c>
      <c r="W43" s="63"/>
      <c r="X43" s="52">
        <f>CORREL(J57:J115,T57:T115)</f>
        <v>1.9469349236161934E-2</v>
      </c>
      <c r="Y43" s="52">
        <f>CORREL(O57:O115,T57:T115)</f>
        <v>-0.12841119137823837</v>
      </c>
      <c r="Z43" s="62">
        <v>1</v>
      </c>
      <c r="AA43" s="63"/>
      <c r="AB43" s="63"/>
      <c r="AC43" s="58"/>
      <c r="AW43" s="70"/>
    </row>
    <row r="44" spans="21:49">
      <c r="V44" s="144" t="str">
        <f>AA39</f>
        <v>NFLX</v>
      </c>
      <c r="W44" s="53"/>
      <c r="X44" s="52">
        <f>CORREL(J57:J115,Y57:Y115)</f>
        <v>0.30830061319002178</v>
      </c>
      <c r="Y44" s="52">
        <f>CORREL(O57:O115,Y57:Y115)</f>
        <v>-0.10310986291558381</v>
      </c>
      <c r="Z44" s="52">
        <f>CORREL(T57:T115,Y57:Y115)</f>
        <v>1.7329325611717444E-2</v>
      </c>
      <c r="AA44" s="52">
        <v>1</v>
      </c>
      <c r="AB44" s="53"/>
      <c r="AC44" s="58"/>
      <c r="AW44" s="70"/>
    </row>
    <row r="45" spans="21:49">
      <c r="V45" s="144" t="str">
        <f>AB39</f>
        <v>BKNG</v>
      </c>
      <c r="W45" s="53"/>
      <c r="X45" s="52">
        <f>CORREL(J57:J115,AD57:AD115)</f>
        <v>-0.4065200644133275</v>
      </c>
      <c r="Y45" s="52">
        <f>CORREL(O57:O115,AD57:AD115)</f>
        <v>-0.17503210884232923</v>
      </c>
      <c r="Z45" s="52">
        <f>CORREL(T57:T115,AD57:AD115)</f>
        <v>-0.16104883808904011</v>
      </c>
      <c r="AA45" s="52">
        <f>CORREL(Y57:Y115,AD57:AD115)</f>
        <v>-0.14038943856314798</v>
      </c>
      <c r="AB45" s="52">
        <v>1</v>
      </c>
      <c r="AC45" s="58"/>
      <c r="AW45" s="70"/>
    </row>
    <row r="46" spans="21:49" ht="17">
      <c r="V46" s="143" t="s">
        <v>228</v>
      </c>
      <c r="W46" s="53"/>
      <c r="X46" s="52">
        <f>CORREL(J57:J176,AI57:AI176)</f>
        <v>-0.17725927508150921</v>
      </c>
      <c r="Y46" s="52">
        <f>CORREL(O57:O176,AI57:AI176)</f>
        <v>-0.11436498724726976</v>
      </c>
      <c r="Z46" s="52">
        <f>CORREL(T57:T176,AI57:AI176)</f>
        <v>0.10925127554367048</v>
      </c>
      <c r="AA46" s="52">
        <f>CORREL(Y57:Y176,AI57:AI176)</f>
        <v>-0.17299556397359095</v>
      </c>
      <c r="AB46" s="52">
        <f>CORREL(AI57:AI176,AD57:AD176)</f>
        <v>-0.14972494757725882</v>
      </c>
      <c r="AC46" s="52">
        <v>1</v>
      </c>
      <c r="AW46" s="70"/>
    </row>
    <row r="47" spans="21:49">
      <c r="V47" s="144" t="s">
        <v>198</v>
      </c>
      <c r="W47" s="53"/>
      <c r="X47" s="52">
        <f>CORREL($AN$57:$AN$176,J57:J176)</f>
        <v>-0.17951428927160198</v>
      </c>
      <c r="Y47" s="52">
        <f>CORREL($AN$57:$AN$176,O57:O176)</f>
        <v>-0.24836381776073835</v>
      </c>
      <c r="Z47" s="52">
        <f>CORREL($AN$57:$AN$176,T57:T176)</f>
        <v>0.10414662709564793</v>
      </c>
      <c r="AA47" s="52">
        <f>CORREL($AN$57:$AN$176,Y57:Y176)</f>
        <v>-0.11196058784385297</v>
      </c>
      <c r="AB47" s="52">
        <f>CORREL($AN$57:$AN$176,AD57:AD176)</f>
        <v>8.108681414229281E-2</v>
      </c>
      <c r="AC47" s="52">
        <f>CORREL($AN$57:$AN$176,AI57:AI176)</f>
        <v>3.0903430663315228E-2</v>
      </c>
      <c r="AD47" s="52">
        <v>1</v>
      </c>
      <c r="AW47" s="70"/>
    </row>
    <row r="48" spans="21:49">
      <c r="V48" s="144" t="s">
        <v>199</v>
      </c>
      <c r="W48" s="53"/>
      <c r="X48" s="52">
        <f>CORREL($AS$57:$AS$176,J57:J176)</f>
        <v>-0.17013125585920266</v>
      </c>
      <c r="Y48" s="52">
        <f>CORREL($AS$57:$AS$176,O57:O176)</f>
        <v>-4.7292190160468192E-2</v>
      </c>
      <c r="Z48" s="52">
        <f>CORREL($AS$57:$AS$176,T57:T176)</f>
        <v>0.3538138716911623</v>
      </c>
      <c r="AA48" s="52">
        <f>CORREL($AS$57:$AS$176,Y57:Y176)</f>
        <v>-0.13214637799369311</v>
      </c>
      <c r="AB48" s="52">
        <f>CORREL($AS$57:$AS$176,AD57:AD176)</f>
        <v>-0.14690692532261787</v>
      </c>
      <c r="AC48" s="52">
        <f>CORREL($AS$57:$AS$176,AI57:AI176)</f>
        <v>2.5872185669744915E-2</v>
      </c>
      <c r="AD48" s="52">
        <f>CORREL($AS$57:$AS$176,AN57:AN176)</f>
        <v>-1.4073773898298643E-2</v>
      </c>
      <c r="AE48" s="52">
        <v>1</v>
      </c>
      <c r="AW48" s="70"/>
    </row>
    <row r="49" spans="2:52">
      <c r="V49" s="189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W49" s="70"/>
    </row>
    <row r="50" spans="2:52">
      <c r="V50" s="189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W50" s="70"/>
    </row>
    <row r="51" spans="2:52">
      <c r="V51" s="189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W51" s="70"/>
    </row>
    <row r="52" spans="2:52">
      <c r="V52" s="281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W52" s="70"/>
    </row>
    <row r="53" spans="2:52" ht="8" customHeight="1">
      <c r="B53" s="35"/>
      <c r="C53" s="35"/>
      <c r="D53" s="35"/>
      <c r="E53" s="35"/>
      <c r="V53" s="189"/>
      <c r="W53" s="53"/>
      <c r="AC53" s="58"/>
    </row>
    <row r="54" spans="2:52" ht="39" customHeight="1">
      <c r="B54" s="71" t="s">
        <v>223</v>
      </c>
      <c r="C54" s="317" t="s">
        <v>201</v>
      </c>
      <c r="D54" s="318"/>
      <c r="E54" s="319"/>
      <c r="F54" s="315" t="s">
        <v>45</v>
      </c>
      <c r="G54" s="316"/>
      <c r="H54" s="316"/>
      <c r="I54" s="316"/>
      <c r="J54" s="320"/>
      <c r="K54" s="315" t="s">
        <v>202</v>
      </c>
      <c r="L54" s="316"/>
      <c r="M54" s="316"/>
      <c r="N54" s="316"/>
      <c r="O54" s="316"/>
      <c r="P54" s="316" t="s">
        <v>203</v>
      </c>
      <c r="Q54" s="316"/>
      <c r="R54" s="316"/>
      <c r="S54" s="316"/>
      <c r="T54" s="316"/>
      <c r="U54" s="316" t="s">
        <v>210</v>
      </c>
      <c r="V54" s="316"/>
      <c r="W54" s="316"/>
      <c r="X54" s="316"/>
      <c r="Y54" s="316"/>
      <c r="Z54" s="316" t="s">
        <v>204</v>
      </c>
      <c r="AA54" s="316"/>
      <c r="AB54" s="316"/>
      <c r="AC54" s="316"/>
      <c r="AD54" s="316"/>
      <c r="AE54" s="316" t="s">
        <v>205</v>
      </c>
      <c r="AF54" s="316"/>
      <c r="AG54" s="316"/>
      <c r="AH54" s="316"/>
      <c r="AI54" s="316"/>
      <c r="AJ54" s="316" t="s">
        <v>207</v>
      </c>
      <c r="AK54" s="316"/>
      <c r="AL54" s="316"/>
      <c r="AM54" s="316"/>
      <c r="AN54" s="316"/>
      <c r="AO54" s="316" t="s">
        <v>208</v>
      </c>
      <c r="AP54" s="316"/>
      <c r="AQ54" s="316"/>
      <c r="AR54" s="316"/>
      <c r="AS54" s="316"/>
      <c r="AT54" s="316" t="s">
        <v>85</v>
      </c>
      <c r="AU54" s="316"/>
      <c r="AV54" s="315" t="s">
        <v>229</v>
      </c>
      <c r="AW54" s="316"/>
      <c r="AX54" s="316"/>
      <c r="AZ54" s="242" t="s">
        <v>186</v>
      </c>
    </row>
    <row r="55" spans="2:52" s="76" customFormat="1" ht="42">
      <c r="B55" s="72" t="s">
        <v>46</v>
      </c>
      <c r="C55" s="73" t="s">
        <v>47</v>
      </c>
      <c r="D55" s="74" t="s">
        <v>48</v>
      </c>
      <c r="E55" s="135" t="s">
        <v>142</v>
      </c>
      <c r="F55" s="73" t="s">
        <v>47</v>
      </c>
      <c r="G55" s="74" t="s">
        <v>48</v>
      </c>
      <c r="H55" s="74" t="s">
        <v>206</v>
      </c>
      <c r="I55" s="74" t="s">
        <v>50</v>
      </c>
      <c r="J55" s="75" t="s">
        <v>51</v>
      </c>
      <c r="K55" s="73" t="s">
        <v>47</v>
      </c>
      <c r="L55" s="74" t="s">
        <v>48</v>
      </c>
      <c r="M55" s="74" t="s">
        <v>49</v>
      </c>
      <c r="N55" s="74" t="s">
        <v>50</v>
      </c>
      <c r="O55" s="75" t="s">
        <v>51</v>
      </c>
      <c r="P55" s="73" t="s">
        <v>47</v>
      </c>
      <c r="Q55" s="74" t="s">
        <v>48</v>
      </c>
      <c r="R55" s="74" t="s">
        <v>49</v>
      </c>
      <c r="S55" s="74" t="s">
        <v>50</v>
      </c>
      <c r="T55" s="75" t="s">
        <v>51</v>
      </c>
      <c r="U55" s="73" t="s">
        <v>47</v>
      </c>
      <c r="V55" s="74" t="s">
        <v>48</v>
      </c>
      <c r="W55" s="74" t="s">
        <v>49</v>
      </c>
      <c r="X55" s="74" t="s">
        <v>50</v>
      </c>
      <c r="Y55" s="75" t="s">
        <v>51</v>
      </c>
      <c r="Z55" s="73" t="s">
        <v>47</v>
      </c>
      <c r="AA55" s="74" t="s">
        <v>48</v>
      </c>
      <c r="AB55" s="74" t="s">
        <v>206</v>
      </c>
      <c r="AC55" s="74" t="s">
        <v>50</v>
      </c>
      <c r="AD55" s="75" t="s">
        <v>51</v>
      </c>
      <c r="AE55" s="73" t="s">
        <v>47</v>
      </c>
      <c r="AF55" s="74" t="s">
        <v>48</v>
      </c>
      <c r="AG55" s="74" t="s">
        <v>206</v>
      </c>
      <c r="AH55" s="74" t="s">
        <v>50</v>
      </c>
      <c r="AI55" s="75" t="s">
        <v>51</v>
      </c>
      <c r="AJ55" s="73" t="s">
        <v>47</v>
      </c>
      <c r="AK55" s="74" t="s">
        <v>48</v>
      </c>
      <c r="AL55" s="74" t="s">
        <v>206</v>
      </c>
      <c r="AM55" s="74" t="s">
        <v>50</v>
      </c>
      <c r="AN55" s="75" t="s">
        <v>51</v>
      </c>
      <c r="AO55" s="73" t="s">
        <v>47</v>
      </c>
      <c r="AP55" s="74" t="s">
        <v>48</v>
      </c>
      <c r="AQ55" s="74" t="s">
        <v>206</v>
      </c>
      <c r="AR55" s="74" t="s">
        <v>50</v>
      </c>
      <c r="AS55" s="75" t="s">
        <v>51</v>
      </c>
      <c r="AT55" s="179" t="s">
        <v>143</v>
      </c>
      <c r="AU55" s="135" t="s">
        <v>144</v>
      </c>
      <c r="AV55" s="73" t="s">
        <v>47</v>
      </c>
      <c r="AW55" s="74" t="s">
        <v>48</v>
      </c>
      <c r="AX55" s="74" t="s">
        <v>49</v>
      </c>
      <c r="AZ55" s="245" t="s">
        <v>187</v>
      </c>
    </row>
    <row r="56" spans="2:52">
      <c r="B56" s="266">
        <v>45660</v>
      </c>
      <c r="C56">
        <v>88.32</v>
      </c>
      <c r="D56" s="77"/>
      <c r="E56" s="78"/>
      <c r="F56">
        <v>190.26</v>
      </c>
      <c r="J56" s="51"/>
      <c r="K56">
        <v>259.16000000000003</v>
      </c>
      <c r="O56" s="51"/>
      <c r="P56">
        <v>945.78</v>
      </c>
      <c r="T56" s="51"/>
      <c r="U56">
        <v>932.53</v>
      </c>
      <c r="Y56" s="51"/>
      <c r="Z56" s="249">
        <v>4606.91</v>
      </c>
      <c r="AD56" s="51"/>
      <c r="AE56">
        <v>366.49</v>
      </c>
      <c r="AI56" s="51"/>
      <c r="AJ56">
        <v>98.09</v>
      </c>
      <c r="AN56" s="51"/>
      <c r="AO56">
        <v>87.79</v>
      </c>
      <c r="AS56" s="51"/>
      <c r="AT56" s="178">
        <f t="shared" ref="AT56:AT119" si="17">AT57*(1+AU56)</f>
        <v>171.84987402969685</v>
      </c>
      <c r="AU56" s="80"/>
      <c r="AV56">
        <v>52.37</v>
      </c>
      <c r="AW56" s="77"/>
      <c r="AX56" s="77"/>
    </row>
    <row r="57" spans="2:52">
      <c r="B57" s="267">
        <v>45659</v>
      </c>
      <c r="C57">
        <v>96.38</v>
      </c>
      <c r="D57" s="79">
        <f>(C56-C57)/C57</f>
        <v>-8.3627308570242823E-2</v>
      </c>
      <c r="E57" s="80">
        <f>D57-$E$7/12</f>
        <v>-8.716564190357616E-2</v>
      </c>
      <c r="F57">
        <v>212.28</v>
      </c>
      <c r="G57" s="79">
        <f>(F56-F57)/F57</f>
        <v>-0.10373092142453368</v>
      </c>
      <c r="H57" s="79">
        <f>G57-$E$7/12</f>
        <v>-0.10726925475786701</v>
      </c>
      <c r="I57" s="79">
        <f>$G$17*E57</f>
        <v>-0.10123640303023755</v>
      </c>
      <c r="J57" s="80">
        <f>H57-$G$13/12-I57</f>
        <v>-1.9653691213738167E-2</v>
      </c>
      <c r="K57">
        <v>292.98</v>
      </c>
      <c r="L57" s="79">
        <f>(K56-K57)/K57</f>
        <v>-0.1154345006485084</v>
      </c>
      <c r="M57" s="79">
        <f>L57-$E$7/12</f>
        <v>-0.11897283398184173</v>
      </c>
      <c r="N57" s="79">
        <f>$H$17*E57</f>
        <v>-0.15566801356280707</v>
      </c>
      <c r="O57" s="80">
        <f>M57-$H$13/12-N57</f>
        <v>9.4855062717655592E-3</v>
      </c>
      <c r="P57" s="249">
        <v>1048.6099999999999</v>
      </c>
      <c r="Q57" s="79">
        <f>(P56-P57)/P57</f>
        <v>-9.8063150265589621E-2</v>
      </c>
      <c r="R57" s="79">
        <f>Q57-$E$7/12</f>
        <v>-0.10160148359892296</v>
      </c>
      <c r="S57" s="79">
        <f>E57*$I$17</f>
        <v>-6.4497651850252663E-2</v>
      </c>
      <c r="T57" s="80">
        <f>R57-$I$13/12-S57</f>
        <v>-4.7497036912074853E-2</v>
      </c>
      <c r="U57">
        <v>980.56</v>
      </c>
      <c r="V57" s="79">
        <f>(U56-U57)/U57</f>
        <v>-4.8982214244921246E-2</v>
      </c>
      <c r="W57" s="79">
        <f>V57-$E$7/12</f>
        <v>-5.2520547578254577E-2</v>
      </c>
      <c r="X57" s="79">
        <f>E57*$J$17</f>
        <v>-0.10012008227449146</v>
      </c>
      <c r="Y57" s="80">
        <f>W57-$J$13/12-X57</f>
        <v>2.6903533324606599E-2</v>
      </c>
      <c r="Z57" s="249">
        <v>5016.01</v>
      </c>
      <c r="AA57" s="79">
        <f>(Z56-Z57)/Z57</f>
        <v>-8.1558848566888886E-2</v>
      </c>
      <c r="AB57" s="79">
        <f>AA57-$E$7/12</f>
        <v>-8.5097181900222224E-2</v>
      </c>
      <c r="AC57" s="79">
        <f>E57*$K$17</f>
        <v>-8.7603361578788522E-2</v>
      </c>
      <c r="AD57" s="80">
        <f>AB57-$K$13/12-AC57</f>
        <v>-3.6196388184867312E-3</v>
      </c>
      <c r="AE57">
        <v>396.6</v>
      </c>
      <c r="AF57" s="79">
        <f>(AE56-AE57)/AE57</f>
        <v>-7.5920322743318239E-2</v>
      </c>
      <c r="AG57" s="79">
        <f>AF57-$E$7/12</f>
        <v>-7.9458656076651576E-2</v>
      </c>
      <c r="AH57" s="79">
        <f>E57*$L$17</f>
        <v>-7.4385504372882147E-2</v>
      </c>
      <c r="AI57" s="80">
        <f>AG57-$L$13/12-AH57</f>
        <v>-8.7245065653761278E-3</v>
      </c>
      <c r="AJ57">
        <v>115.81</v>
      </c>
      <c r="AK57" s="79">
        <f>(AJ56-AJ57)/AJ57</f>
        <v>-0.15300923927122009</v>
      </c>
      <c r="AL57" s="79">
        <f>AK57-$E$7/12</f>
        <v>-0.15654757260455343</v>
      </c>
      <c r="AM57" s="79">
        <f>E57*$M$17</f>
        <v>-6.4096833415324697E-2</v>
      </c>
      <c r="AN57" s="80">
        <f>AL57-$M$13/12-AM57</f>
        <v>-9.3569145596482342E-2</v>
      </c>
      <c r="AO57">
        <v>98.61</v>
      </c>
      <c r="AP57" s="79">
        <f>(AO56-AO57)/AO57</f>
        <v>-0.10972518000202812</v>
      </c>
      <c r="AQ57" s="79">
        <f>AP57-$E$7/12</f>
        <v>-0.11326351333536146</v>
      </c>
      <c r="AR57" s="79">
        <f>E57*$N$17</f>
        <v>-4.0200413607928441E-2</v>
      </c>
      <c r="AS57" s="80">
        <f>AQ57-$N$13/12-AR57</f>
        <v>-7.828312411047228E-2</v>
      </c>
      <c r="AT57" s="178">
        <f t="shared" si="17"/>
        <v>171.84987402969685</v>
      </c>
      <c r="AU57" s="80">
        <f>$F$32*E57+$G$32*H57+$H$32*M57+$I$32*R57+$J$32*W57+$K$32*AB57+$L$32*AG57+$M$32*AL57+$N$32*AQ57</f>
        <v>-9.512450057726668E-2</v>
      </c>
      <c r="AV57">
        <v>52.35</v>
      </c>
      <c r="AW57" s="79">
        <f>(AV56-AV57)/AV57</f>
        <v>3.8204393505245505E-4</v>
      </c>
      <c r="AX57" s="79">
        <f>AW57-$E$7/12</f>
        <v>-3.156289398280878E-3</v>
      </c>
      <c r="AZ57" s="307">
        <f>E57-AX57</f>
        <v>-8.4009352505295287E-2</v>
      </c>
    </row>
    <row r="58" spans="2:52">
      <c r="B58" s="267">
        <v>45658</v>
      </c>
      <c r="C58">
        <v>100.57</v>
      </c>
      <c r="D58" s="79">
        <f t="shared" ref="D58:D121" si="18">(C57-C58)/C58</f>
        <v>-4.1662523615392244E-2</v>
      </c>
      <c r="E58" s="80">
        <f t="shared" ref="E58:E121" si="19">D58-$E$7/12</f>
        <v>-4.5200856948725575E-2</v>
      </c>
      <c r="F58">
        <v>237.68</v>
      </c>
      <c r="G58" s="79">
        <f t="shared" ref="G58:G121" si="20">(F57-F58)/F58</f>
        <v>-0.10686637495792664</v>
      </c>
      <c r="H58" s="79">
        <f t="shared" ref="H58:H121" si="21">G58-$E$7/12</f>
        <v>-0.11040470829125998</v>
      </c>
      <c r="I58" s="79">
        <f t="shared" ref="I58:I121" si="22">$G$17*E58</f>
        <v>-5.2497429852410189E-2</v>
      </c>
      <c r="J58" s="80">
        <f t="shared" ref="J58:J121" si="23">H58-$G$13/12-I58</f>
        <v>-7.1528117924958501E-2</v>
      </c>
      <c r="K58">
        <v>404.6</v>
      </c>
      <c r="L58" s="79">
        <f t="shared" ref="L58:L121" si="24">(K57-K58)/K58</f>
        <v>-0.27587740978744441</v>
      </c>
      <c r="M58" s="79">
        <f t="shared" ref="M58:M121" si="25">L58-$E$7/12</f>
        <v>-0.27941574312077772</v>
      </c>
      <c r="N58" s="79">
        <f t="shared" ref="N58:N121" si="26">$H$17*E58</f>
        <v>-8.0723636732101381E-2</v>
      </c>
      <c r="O58" s="80">
        <f>M58-$G$13/12-N58</f>
        <v>-0.21231294587478505</v>
      </c>
      <c r="P58">
        <v>979.88</v>
      </c>
      <c r="Q58" s="79">
        <f t="shared" ref="Q58:Q121" si="27">(P57-P58)/P58</f>
        <v>7.0141241784708236E-2</v>
      </c>
      <c r="R58" s="79">
        <f t="shared" ref="R58:R121" si="28">Q58-$E$7/12</f>
        <v>6.6602908451374898E-2</v>
      </c>
      <c r="S58" s="79">
        <f>E58*$I$17</f>
        <v>-3.34460811753899E-2</v>
      </c>
      <c r="T58" s="80">
        <f>R58-$I$13/12-S58</f>
        <v>8.9655784463360241E-2</v>
      </c>
      <c r="U58">
        <v>976.76</v>
      </c>
      <c r="V58" s="79">
        <f t="shared" ref="V58:V121" si="29">(U57-U58)/U58</f>
        <v>3.8904132028338124E-3</v>
      </c>
      <c r="W58" s="79">
        <f t="shared" ref="W58:W121" si="30">V58-$E$7/12</f>
        <v>3.5207986950047936E-4</v>
      </c>
      <c r="X58" s="79">
        <f>E58*$J$17</f>
        <v>-5.1918547466100334E-2</v>
      </c>
      <c r="Y58" s="80">
        <f t="shared" ref="Y58:Y121" si="31">W58-$J$13/12-X58</f>
        <v>3.1574625963970537E-2</v>
      </c>
      <c r="Z58" s="249">
        <v>4737.5600000000004</v>
      </c>
      <c r="AA58" s="79">
        <f t="shared" ref="AA58:AA121" si="32">(Z57-Z58)/Z58</f>
        <v>5.8774981213958195E-2</v>
      </c>
      <c r="AB58" s="79">
        <f t="shared" ref="AB58:AB121" si="33">AA58-$E$7/12</f>
        <v>5.5236647880624865E-2</v>
      </c>
      <c r="AC58" s="79">
        <f t="shared" ref="AC58:AC121" si="34">E58*$K$17</f>
        <v>-4.5427842077164181E-2</v>
      </c>
      <c r="AD58" s="80">
        <f t="shared" ref="AD58:AD121" si="35">AB58-$K$13/12-AC58</f>
        <v>9.4538671460736023E-2</v>
      </c>
      <c r="AE58">
        <v>411.98</v>
      </c>
      <c r="AF58" s="79">
        <f t="shared" ref="AF58:AF121" si="36">(AE57-AE58)/AE58</f>
        <v>-3.7331909315986199E-2</v>
      </c>
      <c r="AG58" s="79">
        <f t="shared" ref="AG58:AG121" si="37">AF58-$E$7/12</f>
        <v>-4.087024264931953E-2</v>
      </c>
      <c r="AH58" s="79">
        <f t="shared" ref="AH58:AH121" si="38">E58*$L$17</f>
        <v>-3.8573553395463513E-2</v>
      </c>
      <c r="AI58" s="80">
        <f t="shared" ref="AI58:AI121" si="39">AG58-$L$13/12-AH58</f>
        <v>-5.9480441154627084E-3</v>
      </c>
      <c r="AJ58">
        <v>107.68</v>
      </c>
      <c r="AK58" s="79">
        <f t="shared" ref="AK58:AK121" si="40">(AJ57-AJ58)/AJ58</f>
        <v>7.5501485884100994E-2</v>
      </c>
      <c r="AL58" s="79">
        <f t="shared" ref="AL58:AL121" si="41">AK58-$E$7/12</f>
        <v>7.1963152550767656E-2</v>
      </c>
      <c r="AM58" s="79">
        <f t="shared" ref="AM58:AM121" si="42">E58*$M$17</f>
        <v>-3.3238231656428835E-2</v>
      </c>
      <c r="AN58" s="80">
        <f t="shared" ref="AN58:AN121" si="43">AL58-$M$13/12-AM58</f>
        <v>0.1040829777999429</v>
      </c>
      <c r="AO58">
        <v>98.16</v>
      </c>
      <c r="AP58" s="79">
        <f t="shared" ref="AP58:AP121" si="44">(AO57-AO58)/AO58</f>
        <v>4.5843520782396377E-3</v>
      </c>
      <c r="AQ58" s="79">
        <f t="shared" ref="AQ58:AQ121" si="45">AP58-$E$7/12</f>
        <v>1.0460187449063047E-3</v>
      </c>
      <c r="AR58" s="79">
        <f t="shared" ref="AR58:AR121" si="46">E58*$N$17</f>
        <v>-2.084643794376766E-2</v>
      </c>
      <c r="AS58" s="80">
        <f t="shared" ref="AS58:AS121" si="47">AQ58-$N$13/12-AR58</f>
        <v>1.6672432305634706E-2</v>
      </c>
      <c r="AT58" s="178">
        <f t="shared" si="17"/>
        <v>189.91549018547718</v>
      </c>
      <c r="AU58" s="80">
        <f t="shared" ref="AU58:AU121" si="48">$F$32*E58+$G$32*H58+$H$32*M58+$I$32*R58+$J$32*W58+$K$32*AB58+$L$32*AG58+$M$32*AL58+$N$32*AQ58</f>
        <v>-1.5353125552682152E-2</v>
      </c>
      <c r="AV58">
        <v>52.02</v>
      </c>
      <c r="AW58" s="79">
        <f t="shared" ref="AW58:AW121" si="49">(AV57-AV58)/AV58</f>
        <v>6.3437139561706704E-3</v>
      </c>
      <c r="AX58" s="79">
        <f t="shared" ref="AX58:AX121" si="50">AW58-$E$7/12</f>
        <v>2.8053806228373374E-3</v>
      </c>
      <c r="AZ58" s="307">
        <f t="shared" ref="AZ58:AZ121" si="51">E58-AX58</f>
        <v>-4.8006237571562915E-2</v>
      </c>
    </row>
    <row r="59" spans="2:52">
      <c r="B59" s="267">
        <v>45303</v>
      </c>
      <c r="C59">
        <v>96.14</v>
      </c>
      <c r="D59" s="79">
        <f t="shared" si="18"/>
        <v>4.6078635323486508E-2</v>
      </c>
      <c r="E59" s="80">
        <f t="shared" si="19"/>
        <v>4.2540301990153177E-2</v>
      </c>
      <c r="F59">
        <v>219.39</v>
      </c>
      <c r="G59" s="79">
        <f t="shared" si="20"/>
        <v>8.3367519030037932E-2</v>
      </c>
      <c r="H59" s="79">
        <f t="shared" si="21"/>
        <v>7.9829185696704594E-2</v>
      </c>
      <c r="I59" s="79">
        <f t="shared" si="22"/>
        <v>4.9407393363399013E-2</v>
      </c>
      <c r="J59" s="80">
        <f t="shared" si="23"/>
        <v>1.6800952847196876E-2</v>
      </c>
      <c r="K59">
        <v>403.84</v>
      </c>
      <c r="L59" s="79">
        <f t="shared" si="24"/>
        <v>1.8819334389858552E-3</v>
      </c>
      <c r="M59" s="79">
        <f t="shared" si="25"/>
        <v>-1.6563998943474778E-3</v>
      </c>
      <c r="N59" s="79">
        <f t="shared" si="26"/>
        <v>7.5972185399547726E-2</v>
      </c>
      <c r="O59" s="80">
        <f t="shared" ref="O59:O121" si="52">M59-$G$13/12-N59</f>
        <v>-9.1249424780003904E-2</v>
      </c>
      <c r="P59">
        <v>916.27</v>
      </c>
      <c r="Q59" s="79">
        <f t="shared" si="27"/>
        <v>6.9422768397961312E-2</v>
      </c>
      <c r="R59" s="79">
        <f t="shared" si="28"/>
        <v>6.5884435064627975E-2</v>
      </c>
      <c r="S59" s="79">
        <f t="shared" ref="S59:S122" si="53">E59*$I$17</f>
        <v>3.1477420775501017E-2</v>
      </c>
      <c r="T59" s="80">
        <f t="shared" ref="T59:T122" si="54">R59-$I$13/12-S59</f>
        <v>2.4013809125722402E-2</v>
      </c>
      <c r="U59">
        <v>891.32</v>
      </c>
      <c r="V59" s="79">
        <f t="shared" si="29"/>
        <v>9.5857828838127643E-2</v>
      </c>
      <c r="W59" s="79">
        <f t="shared" si="30"/>
        <v>9.2319495504794305E-2</v>
      </c>
      <c r="X59" s="79">
        <f t="shared" ref="X59:X121" si="55">E59*$J$17</f>
        <v>4.8862584410809096E-2</v>
      </c>
      <c r="Y59" s="80">
        <f t="shared" si="31"/>
        <v>2.2760909722354936E-2</v>
      </c>
      <c r="Z59" s="249">
        <v>4968.42</v>
      </c>
      <c r="AA59" s="79">
        <f t="shared" si="32"/>
        <v>-4.6465475946075349E-2</v>
      </c>
      <c r="AB59" s="79">
        <f t="shared" si="33"/>
        <v>-5.000380927940868E-2</v>
      </c>
      <c r="AC59" s="79">
        <f t="shared" si="34"/>
        <v>4.2753926610633389E-2</v>
      </c>
      <c r="AD59" s="80">
        <f t="shared" si="35"/>
        <v>-9.8883554387095091E-2</v>
      </c>
      <c r="AE59">
        <v>388.99</v>
      </c>
      <c r="AF59" s="79">
        <f t="shared" si="36"/>
        <v>5.9101776395280109E-2</v>
      </c>
      <c r="AG59" s="79">
        <f t="shared" si="37"/>
        <v>5.5563443061946778E-2</v>
      </c>
      <c r="AH59" s="79">
        <f t="shared" si="38"/>
        <v>3.6303086291875751E-2</v>
      </c>
      <c r="AI59" s="80">
        <f t="shared" si="39"/>
        <v>1.5609001908464336E-2</v>
      </c>
      <c r="AJ59">
        <v>91.25</v>
      </c>
      <c r="AK59" s="79">
        <f t="shared" si="40"/>
        <v>0.18005479452054801</v>
      </c>
      <c r="AL59" s="79">
        <f t="shared" si="41"/>
        <v>0.17651646118721467</v>
      </c>
      <c r="AM59" s="79">
        <f t="shared" si="42"/>
        <v>3.1281805428757879E-2</v>
      </c>
      <c r="AN59" s="80">
        <f t="shared" si="43"/>
        <v>0.14411624935120318</v>
      </c>
      <c r="AO59">
        <v>90.35</v>
      </c>
      <c r="AP59" s="79">
        <f t="shared" si="44"/>
        <v>8.6441615938018843E-2</v>
      </c>
      <c r="AQ59" s="79">
        <f t="shared" si="45"/>
        <v>8.2903282604685505E-2</v>
      </c>
      <c r="AR59" s="79">
        <f t="shared" si="46"/>
        <v>1.9619401608974751E-2</v>
      </c>
      <c r="AS59" s="80">
        <f t="shared" si="47"/>
        <v>5.8063856612671494E-2</v>
      </c>
      <c r="AT59" s="178">
        <f t="shared" si="17"/>
        <v>192.87675116226487</v>
      </c>
      <c r="AU59" s="80">
        <f t="shared" si="48"/>
        <v>5.886314695796506E-2</v>
      </c>
      <c r="AV59">
        <v>51.7</v>
      </c>
      <c r="AW59" s="79">
        <f t="shared" si="49"/>
        <v>6.1895551257253436E-3</v>
      </c>
      <c r="AX59" s="79">
        <f t="shared" si="50"/>
        <v>2.6512217923920106E-3</v>
      </c>
      <c r="AZ59" s="307">
        <f t="shared" si="51"/>
        <v>3.9889080197761169E-2</v>
      </c>
    </row>
    <row r="60" spans="2:52">
      <c r="B60" s="267">
        <v>45302</v>
      </c>
      <c r="C60">
        <v>97.69</v>
      </c>
      <c r="D60" s="79">
        <f t="shared" si="18"/>
        <v>-1.5866516531886553E-2</v>
      </c>
      <c r="E60" s="80">
        <f t="shared" si="19"/>
        <v>-1.9404849865219887E-2</v>
      </c>
      <c r="F60">
        <v>207.89</v>
      </c>
      <c r="G60" s="79">
        <f t="shared" si="20"/>
        <v>5.5317716099860505E-2</v>
      </c>
      <c r="H60" s="79">
        <f t="shared" si="21"/>
        <v>5.1779382766527174E-2</v>
      </c>
      <c r="I60" s="79">
        <f t="shared" si="22"/>
        <v>-2.2537288302996533E-2</v>
      </c>
      <c r="J60" s="80">
        <f t="shared" si="23"/>
        <v>6.0695831583415009E-2</v>
      </c>
      <c r="K60">
        <v>345.16</v>
      </c>
      <c r="L60" s="79">
        <f t="shared" si="24"/>
        <v>0.17000811217985845</v>
      </c>
      <c r="M60" s="79">
        <f t="shared" si="25"/>
        <v>0.16646977884652511</v>
      </c>
      <c r="N60" s="79">
        <f t="shared" si="26"/>
        <v>-3.4654875086503015E-2</v>
      </c>
      <c r="O60" s="80">
        <f t="shared" si="52"/>
        <v>0.18750381444691944</v>
      </c>
      <c r="P60">
        <v>971.88</v>
      </c>
      <c r="Q60" s="79">
        <f t="shared" si="27"/>
        <v>-5.72189982302342E-2</v>
      </c>
      <c r="R60" s="79">
        <f t="shared" si="28"/>
        <v>-6.0757331563567531E-2</v>
      </c>
      <c r="S60" s="79">
        <f t="shared" si="53"/>
        <v>-1.4358492904783235E-2</v>
      </c>
      <c r="T60" s="80">
        <f t="shared" si="54"/>
        <v>-5.6792043822188859E-2</v>
      </c>
      <c r="U60">
        <v>886.81</v>
      </c>
      <c r="V60" s="79">
        <f t="shared" si="29"/>
        <v>5.0856440500221074E-3</v>
      </c>
      <c r="W60" s="79">
        <f t="shared" si="30"/>
        <v>1.5473107166887744E-3</v>
      </c>
      <c r="X60" s="79">
        <f t="shared" si="55"/>
        <v>-2.2288772532406045E-2</v>
      </c>
      <c r="Y60" s="80">
        <f t="shared" si="31"/>
        <v>3.1400818774645414E-3</v>
      </c>
      <c r="Z60" s="249">
        <v>5201.9799999999996</v>
      </c>
      <c r="AA60" s="79">
        <f t="shared" si="32"/>
        <v>-4.4898288728522508E-2</v>
      </c>
      <c r="AB60" s="79">
        <f t="shared" si="33"/>
        <v>-4.8436622061855839E-2</v>
      </c>
      <c r="AC60" s="79">
        <f t="shared" si="34"/>
        <v>-1.9502295193391105E-2</v>
      </c>
      <c r="AD60" s="80">
        <f t="shared" si="35"/>
        <v>-3.5060145365517763E-2</v>
      </c>
      <c r="AE60">
        <v>429.13</v>
      </c>
      <c r="AF60" s="79">
        <f t="shared" si="36"/>
        <v>-9.3538088691072607E-2</v>
      </c>
      <c r="AG60" s="79">
        <f t="shared" si="37"/>
        <v>-9.7076422024405945E-2</v>
      </c>
      <c r="AH60" s="79">
        <f t="shared" si="38"/>
        <v>-1.6559730565641775E-2</v>
      </c>
      <c r="AI60" s="80">
        <f t="shared" si="39"/>
        <v>-8.4168046320370865E-2</v>
      </c>
      <c r="AJ60">
        <v>102.46</v>
      </c>
      <c r="AK60" s="79">
        <f t="shared" si="40"/>
        <v>-0.10940854967792303</v>
      </c>
      <c r="AL60" s="79">
        <f t="shared" si="41"/>
        <v>-0.11294688301125637</v>
      </c>
      <c r="AM60" s="79">
        <f t="shared" si="42"/>
        <v>-1.4269262545399277E-2</v>
      </c>
      <c r="AN60" s="80">
        <f t="shared" si="43"/>
        <v>-9.9796026873110691E-2</v>
      </c>
      <c r="AO60">
        <v>92.5</v>
      </c>
      <c r="AP60" s="79">
        <f t="shared" si="44"/>
        <v>-2.3243243243243304E-2</v>
      </c>
      <c r="AQ60" s="79">
        <f t="shared" si="45"/>
        <v>-2.6781576576576639E-2</v>
      </c>
      <c r="AR60" s="79">
        <f t="shared" si="46"/>
        <v>-8.9494320645803586E-3</v>
      </c>
      <c r="AS60" s="80">
        <f t="shared" si="47"/>
        <v>-2.305216889503554E-2</v>
      </c>
      <c r="AT60" s="178">
        <f t="shared" si="17"/>
        <v>182.1545604985738</v>
      </c>
      <c r="AU60" s="80">
        <f t="shared" si="48"/>
        <v>-2.5424899851100115E-2</v>
      </c>
      <c r="AV60">
        <v>52.15</v>
      </c>
      <c r="AW60" s="79">
        <f t="shared" si="49"/>
        <v>-8.6289549376796885E-3</v>
      </c>
      <c r="AX60" s="79">
        <f t="shared" si="50"/>
        <v>-1.2167288271013021E-2</v>
      </c>
      <c r="AZ60" s="307">
        <f t="shared" si="51"/>
        <v>-7.237561594206866E-3</v>
      </c>
    </row>
    <row r="61" spans="2:52">
      <c r="B61" s="267">
        <v>45301</v>
      </c>
      <c r="C61">
        <v>87.23</v>
      </c>
      <c r="D61" s="79">
        <f t="shared" si="18"/>
        <v>0.11991287401123459</v>
      </c>
      <c r="E61" s="80">
        <f t="shared" si="19"/>
        <v>0.11637454067790125</v>
      </c>
      <c r="F61">
        <v>186.4</v>
      </c>
      <c r="G61" s="79">
        <f t="shared" si="20"/>
        <v>0.11528969957081535</v>
      </c>
      <c r="H61" s="79">
        <f t="shared" si="21"/>
        <v>0.11175136623748201</v>
      </c>
      <c r="I61" s="79">
        <f t="shared" si="22"/>
        <v>0.13516036416687513</v>
      </c>
      <c r="J61" s="80">
        <f t="shared" si="23"/>
        <v>-3.7029837415501823E-2</v>
      </c>
      <c r="K61">
        <v>249.85</v>
      </c>
      <c r="L61" s="79">
        <f t="shared" si="24"/>
        <v>0.38146888132879742</v>
      </c>
      <c r="M61" s="79">
        <f t="shared" si="25"/>
        <v>0.37793054799546411</v>
      </c>
      <c r="N61" s="79">
        <f t="shared" si="26"/>
        <v>0.20783181516236543</v>
      </c>
      <c r="O61" s="80">
        <f t="shared" si="52"/>
        <v>0.15647789334698997</v>
      </c>
      <c r="P61">
        <v>874.18</v>
      </c>
      <c r="Q61" s="79">
        <f t="shared" si="27"/>
        <v>0.11176187970440876</v>
      </c>
      <c r="R61" s="79">
        <f t="shared" si="28"/>
        <v>0.10822354637107542</v>
      </c>
      <c r="S61" s="79">
        <f t="shared" si="53"/>
        <v>8.6110587210261755E-2</v>
      </c>
      <c r="T61" s="80">
        <f t="shared" si="54"/>
        <v>1.1719753997409113E-2</v>
      </c>
      <c r="U61">
        <v>756.03</v>
      </c>
      <c r="V61" s="79">
        <f t="shared" si="29"/>
        <v>0.17298255360237025</v>
      </c>
      <c r="W61" s="79">
        <f t="shared" si="30"/>
        <v>0.16944422026903691</v>
      </c>
      <c r="X61" s="79">
        <f t="shared" si="55"/>
        <v>0.13366996826819216</v>
      </c>
      <c r="Y61" s="80">
        <f t="shared" si="31"/>
        <v>1.5078250629214474E-2</v>
      </c>
      <c r="Z61" s="249">
        <v>4676.25</v>
      </c>
      <c r="AA61" s="79">
        <f t="shared" si="32"/>
        <v>0.11242555466452811</v>
      </c>
      <c r="AB61" s="79">
        <f t="shared" si="33"/>
        <v>0.10888722133119477</v>
      </c>
      <c r="AC61" s="79">
        <f t="shared" si="34"/>
        <v>0.1169589386704597</v>
      </c>
      <c r="AD61" s="80">
        <f t="shared" si="35"/>
        <v>-1.4197535836317957E-2</v>
      </c>
      <c r="AE61">
        <v>393.75</v>
      </c>
      <c r="AF61" s="79">
        <f t="shared" si="36"/>
        <v>8.9853968253968242E-2</v>
      </c>
      <c r="AG61" s="79">
        <f t="shared" si="37"/>
        <v>8.6315634920634904E-2</v>
      </c>
      <c r="AH61" s="79">
        <f t="shared" si="38"/>
        <v>9.93118241940351E-2</v>
      </c>
      <c r="AI61" s="80">
        <f t="shared" si="39"/>
        <v>-1.6647544135006895E-2</v>
      </c>
      <c r="AJ61">
        <v>97.7</v>
      </c>
      <c r="AK61" s="79">
        <f t="shared" si="40"/>
        <v>4.8720573183213822E-2</v>
      </c>
      <c r="AL61" s="79">
        <f t="shared" si="41"/>
        <v>4.5182239849880491E-2</v>
      </c>
      <c r="AM61" s="79">
        <f t="shared" si="42"/>
        <v>8.5575455933289385E-2</v>
      </c>
      <c r="AN61" s="80">
        <f t="shared" si="43"/>
        <v>-4.1511622490662495E-2</v>
      </c>
      <c r="AO61">
        <v>81.95</v>
      </c>
      <c r="AP61" s="79">
        <f t="shared" si="44"/>
        <v>0.12873703477730319</v>
      </c>
      <c r="AQ61" s="79">
        <f t="shared" si="45"/>
        <v>0.12519870144396986</v>
      </c>
      <c r="AR61" s="79">
        <f t="shared" si="46"/>
        <v>5.3671430239216597E-2</v>
      </c>
      <c r="AS61" s="80">
        <f t="shared" si="47"/>
        <v>6.6307246821714003E-2</v>
      </c>
      <c r="AT61" s="178">
        <f t="shared" si="17"/>
        <v>186.90664318300705</v>
      </c>
      <c r="AU61" s="80">
        <f t="shared" si="48"/>
        <v>0.11839957938889546</v>
      </c>
      <c r="AV61">
        <v>52</v>
      </c>
      <c r="AW61" s="79">
        <f t="shared" si="49"/>
        <v>2.8846153846153575E-3</v>
      </c>
      <c r="AX61" s="79">
        <f t="shared" si="50"/>
        <v>-6.5371794871797555E-4</v>
      </c>
      <c r="AZ61" s="307">
        <f t="shared" si="51"/>
        <v>0.11702825862661922</v>
      </c>
    </row>
    <row r="62" spans="2:52">
      <c r="B62" s="267">
        <v>45300</v>
      </c>
      <c r="C62">
        <v>87.94</v>
      </c>
      <c r="D62" s="79">
        <f t="shared" si="18"/>
        <v>-8.0736866045029998E-3</v>
      </c>
      <c r="E62" s="80">
        <f t="shared" si="19"/>
        <v>-1.1612019937836332E-2</v>
      </c>
      <c r="F62">
        <v>186.33</v>
      </c>
      <c r="G62" s="79">
        <f t="shared" si="20"/>
        <v>3.7567756131590818E-4</v>
      </c>
      <c r="H62" s="79">
        <f t="shared" si="21"/>
        <v>-3.1626557720174247E-3</v>
      </c>
      <c r="I62" s="79">
        <f t="shared" si="22"/>
        <v>-1.3486496568480191E-2</v>
      </c>
      <c r="J62" s="80">
        <f t="shared" si="23"/>
        <v>-3.296998689645933E-3</v>
      </c>
      <c r="K62">
        <v>261.63</v>
      </c>
      <c r="L62" s="79">
        <f t="shared" si="24"/>
        <v>-4.502541757443719E-2</v>
      </c>
      <c r="M62" s="79">
        <f t="shared" si="25"/>
        <v>-4.8563750907770521E-2</v>
      </c>
      <c r="N62" s="79">
        <f t="shared" si="26"/>
        <v>-2.073775902636393E-2</v>
      </c>
      <c r="O62" s="80">
        <f t="shared" si="52"/>
        <v>-4.1446831367515286E-2</v>
      </c>
      <c r="P62">
        <v>886.52</v>
      </c>
      <c r="Q62" s="79">
        <f t="shared" si="27"/>
        <v>-1.3919595722600767E-2</v>
      </c>
      <c r="R62" s="79">
        <f t="shared" si="28"/>
        <v>-1.7457929055934102E-2</v>
      </c>
      <c r="S62" s="79">
        <f t="shared" si="53"/>
        <v>-8.5922389013925581E-3</v>
      </c>
      <c r="T62" s="80">
        <f t="shared" si="54"/>
        <v>-1.9258895317946105E-2</v>
      </c>
      <c r="U62">
        <v>709.27</v>
      </c>
      <c r="V62" s="79">
        <f t="shared" si="29"/>
        <v>6.5926938965415127E-2</v>
      </c>
      <c r="W62" s="79">
        <f t="shared" si="30"/>
        <v>6.2388605632081796E-2</v>
      </c>
      <c r="X62" s="79">
        <f t="shared" si="55"/>
        <v>-1.3337782710707151E-2</v>
      </c>
      <c r="Y62" s="80">
        <f t="shared" si="31"/>
        <v>5.5030386971158668E-2</v>
      </c>
      <c r="Z62" s="249">
        <v>4212.12</v>
      </c>
      <c r="AA62" s="79">
        <f t="shared" si="32"/>
        <v>0.11018916839976071</v>
      </c>
      <c r="AB62" s="79">
        <f t="shared" si="33"/>
        <v>0.10665083506642738</v>
      </c>
      <c r="AC62" s="79">
        <f t="shared" si="34"/>
        <v>-1.1670332014530172E-2</v>
      </c>
      <c r="AD62" s="80">
        <f t="shared" si="35"/>
        <v>0.11219534858390452</v>
      </c>
      <c r="AE62">
        <v>405.2</v>
      </c>
      <c r="AF62" s="79">
        <f t="shared" si="36"/>
        <v>-2.8257650542941729E-2</v>
      </c>
      <c r="AG62" s="79">
        <f t="shared" si="37"/>
        <v>-3.1795983876275059E-2</v>
      </c>
      <c r="AH62" s="79">
        <f t="shared" si="38"/>
        <v>-9.9094774156476603E-3</v>
      </c>
      <c r="AI62" s="80">
        <f t="shared" si="39"/>
        <v>-2.5537861322234089E-2</v>
      </c>
      <c r="AJ62">
        <v>97.49</v>
      </c>
      <c r="AK62" s="79">
        <f t="shared" si="40"/>
        <v>2.1540670838035487E-3</v>
      </c>
      <c r="AL62" s="79">
        <f t="shared" si="41"/>
        <v>-1.3842662495297843E-3</v>
      </c>
      <c r="AM62" s="79">
        <f t="shared" si="42"/>
        <v>-8.5388427288159308E-3</v>
      </c>
      <c r="AN62" s="80">
        <f t="shared" si="43"/>
        <v>6.0361700720325479E-3</v>
      </c>
      <c r="AO62">
        <v>80.75</v>
      </c>
      <c r="AP62" s="79">
        <f t="shared" si="44"/>
        <v>1.4860681114551119E-2</v>
      </c>
      <c r="AQ62" s="79">
        <f t="shared" si="45"/>
        <v>1.1322347781217787E-2</v>
      </c>
      <c r="AR62" s="79">
        <f t="shared" si="46"/>
        <v>-5.3554129141952685E-3</v>
      </c>
      <c r="AS62" s="80">
        <f t="shared" si="47"/>
        <v>1.1457736312373793E-2</v>
      </c>
      <c r="AT62" s="178">
        <f t="shared" si="17"/>
        <v>167.11973665542209</v>
      </c>
      <c r="AU62" s="80">
        <f t="shared" si="48"/>
        <v>9.8013948302698821E-3</v>
      </c>
      <c r="AV62">
        <v>52.66</v>
      </c>
      <c r="AW62" s="79">
        <f t="shared" si="49"/>
        <v>-1.2533232054690403E-2</v>
      </c>
      <c r="AX62" s="79">
        <f t="shared" si="50"/>
        <v>-1.6071565388023738E-2</v>
      </c>
      <c r="AZ62" s="307">
        <f t="shared" si="51"/>
        <v>4.4595454501874052E-3</v>
      </c>
    </row>
    <row r="63" spans="2:52">
      <c r="B63" s="267">
        <v>45299</v>
      </c>
      <c r="C63">
        <v>83.71</v>
      </c>
      <c r="D63" s="79">
        <f t="shared" si="18"/>
        <v>5.0531597180743092E-2</v>
      </c>
      <c r="E63" s="80">
        <f t="shared" si="19"/>
        <v>4.6993263847409761E-2</v>
      </c>
      <c r="F63">
        <v>178.5</v>
      </c>
      <c r="G63" s="79">
        <f t="shared" si="20"/>
        <v>4.3865546218487463E-2</v>
      </c>
      <c r="H63" s="79">
        <f t="shared" si="21"/>
        <v>4.0327212885154132E-2</v>
      </c>
      <c r="I63" s="79">
        <f t="shared" si="22"/>
        <v>5.4579177009049046E-2</v>
      </c>
      <c r="J63" s="80">
        <f t="shared" si="23"/>
        <v>-2.7872803610003612E-2</v>
      </c>
      <c r="K63">
        <v>214.11</v>
      </c>
      <c r="L63" s="79">
        <f t="shared" si="24"/>
        <v>0.22194199243379562</v>
      </c>
      <c r="M63" s="79">
        <f t="shared" si="25"/>
        <v>0.21840365910046228</v>
      </c>
      <c r="N63" s="79">
        <f t="shared" si="26"/>
        <v>8.3924673463100216E-2</v>
      </c>
      <c r="O63" s="80">
        <f t="shared" si="52"/>
        <v>0.12085814615125336</v>
      </c>
      <c r="P63">
        <v>892.38</v>
      </c>
      <c r="Q63" s="79">
        <f t="shared" si="27"/>
        <v>-6.5667092494229072E-3</v>
      </c>
      <c r="R63" s="79">
        <f t="shared" si="28"/>
        <v>-1.0105042582756241E-2</v>
      </c>
      <c r="S63" s="79">
        <f t="shared" si="53"/>
        <v>3.4772361044391596E-2</v>
      </c>
      <c r="T63" s="80">
        <f t="shared" si="54"/>
        <v>-5.52706087905524E-2</v>
      </c>
      <c r="U63">
        <v>701.35</v>
      </c>
      <c r="V63" s="79">
        <f t="shared" si="29"/>
        <v>1.1292507307335794E-2</v>
      </c>
      <c r="W63" s="79">
        <f t="shared" si="30"/>
        <v>7.7541739740024616E-3</v>
      </c>
      <c r="X63" s="79">
        <f t="shared" si="55"/>
        <v>5.3977339465408315E-2</v>
      </c>
      <c r="Y63" s="80">
        <f t="shared" si="31"/>
        <v>-6.6919166863036131E-2</v>
      </c>
      <c r="Z63" s="249">
        <v>3909.23</v>
      </c>
      <c r="AA63" s="79">
        <f t="shared" si="32"/>
        <v>7.748073149955359E-2</v>
      </c>
      <c r="AB63" s="79">
        <f t="shared" si="33"/>
        <v>7.3942398166220252E-2</v>
      </c>
      <c r="AC63" s="79">
        <f t="shared" si="34"/>
        <v>4.7229249904980605E-2</v>
      </c>
      <c r="AD63" s="80">
        <f t="shared" si="35"/>
        <v>2.0587329764186618E-2</v>
      </c>
      <c r="AE63">
        <v>368.5</v>
      </c>
      <c r="AF63" s="79">
        <f t="shared" si="36"/>
        <v>9.9592944369063741E-2</v>
      </c>
      <c r="AG63" s="79">
        <f t="shared" si="37"/>
        <v>9.6054611035730403E-2</v>
      </c>
      <c r="AH63" s="79">
        <f t="shared" si="38"/>
        <v>4.0103159422429355E-2</v>
      </c>
      <c r="AI63" s="80">
        <f t="shared" si="39"/>
        <v>5.230009675169435E-2</v>
      </c>
      <c r="AJ63">
        <v>94.57</v>
      </c>
      <c r="AK63" s="79">
        <f t="shared" si="40"/>
        <v>3.0876599344400991E-2</v>
      </c>
      <c r="AL63" s="79">
        <f t="shared" si="41"/>
        <v>2.7338266011067657E-2</v>
      </c>
      <c r="AM63" s="79">
        <f t="shared" si="42"/>
        <v>3.4556269404886299E-2</v>
      </c>
      <c r="AN63" s="80">
        <f t="shared" si="43"/>
        <v>-8.3364098010722393E-3</v>
      </c>
      <c r="AO63">
        <v>77.23</v>
      </c>
      <c r="AP63" s="79">
        <f t="shared" si="44"/>
        <v>4.5578143208597641E-2</v>
      </c>
      <c r="AQ63" s="79">
        <f t="shared" si="45"/>
        <v>4.203980987526431E-2</v>
      </c>
      <c r="AR63" s="79">
        <f t="shared" si="46"/>
        <v>2.1673088182407756E-2</v>
      </c>
      <c r="AS63" s="80">
        <f t="shared" si="47"/>
        <v>1.5146697309817291E-2</v>
      </c>
      <c r="AT63" s="178">
        <f t="shared" si="17"/>
        <v>165.49762904963308</v>
      </c>
      <c r="AU63" s="80">
        <f t="shared" si="48"/>
        <v>4.3537974901156226E-2</v>
      </c>
      <c r="AV63">
        <v>52.33</v>
      </c>
      <c r="AW63" s="79">
        <f t="shared" si="49"/>
        <v>6.3061341486718575E-3</v>
      </c>
      <c r="AX63" s="79">
        <f t="shared" si="50"/>
        <v>2.7678008153385245E-3</v>
      </c>
      <c r="AZ63" s="307">
        <f t="shared" si="51"/>
        <v>4.4225463032071234E-2</v>
      </c>
    </row>
    <row r="64" spans="2:52">
      <c r="B64" s="267">
        <v>45298</v>
      </c>
      <c r="C64">
        <v>82.13</v>
      </c>
      <c r="D64" s="79">
        <f t="shared" si="18"/>
        <v>1.9237793741629105E-2</v>
      </c>
      <c r="E64" s="80">
        <f t="shared" si="19"/>
        <v>1.5699460408295771E-2</v>
      </c>
      <c r="F64">
        <v>186.98</v>
      </c>
      <c r="G64" s="79">
        <f t="shared" si="20"/>
        <v>-4.5352444111669644E-2</v>
      </c>
      <c r="H64" s="79">
        <f t="shared" si="21"/>
        <v>-4.8890777445002975E-2</v>
      </c>
      <c r="I64" s="79">
        <f t="shared" si="22"/>
        <v>1.8233754338775558E-2</v>
      </c>
      <c r="J64" s="80">
        <f t="shared" si="23"/>
        <v>-8.0745371269887234E-2</v>
      </c>
      <c r="K64">
        <v>232.07</v>
      </c>
      <c r="L64" s="79">
        <f t="shared" si="24"/>
        <v>-7.7390442538889048E-2</v>
      </c>
      <c r="M64" s="79">
        <f t="shared" si="25"/>
        <v>-8.0928775872222386E-2</v>
      </c>
      <c r="N64" s="79">
        <f t="shared" si="26"/>
        <v>2.8037467084459942E-2</v>
      </c>
      <c r="O64" s="80">
        <f t="shared" si="52"/>
        <v>-0.12258708244279104</v>
      </c>
      <c r="P64">
        <v>822</v>
      </c>
      <c r="Q64" s="79">
        <f t="shared" si="27"/>
        <v>8.5620437956204373E-2</v>
      </c>
      <c r="R64" s="79">
        <f t="shared" si="28"/>
        <v>8.2082104622871035E-2</v>
      </c>
      <c r="S64" s="79">
        <f t="shared" si="53"/>
        <v>1.1616713988881242E-2</v>
      </c>
      <c r="T64" s="80">
        <f t="shared" si="54"/>
        <v>6.0072185470585238E-2</v>
      </c>
      <c r="U64">
        <v>628.35</v>
      </c>
      <c r="V64" s="79">
        <f t="shared" si="29"/>
        <v>0.11617728972706294</v>
      </c>
      <c r="W64" s="79">
        <f t="shared" si="30"/>
        <v>0.1126389563937296</v>
      </c>
      <c r="X64" s="79">
        <f t="shared" si="55"/>
        <v>1.803269308201132E-2</v>
      </c>
      <c r="Y64" s="80">
        <f t="shared" si="31"/>
        <v>7.3910261940088012E-2</v>
      </c>
      <c r="Z64" s="249">
        <v>3715.01</v>
      </c>
      <c r="AA64" s="79">
        <f t="shared" si="32"/>
        <v>5.2279805437939544E-2</v>
      </c>
      <c r="AB64" s="79">
        <f t="shared" si="33"/>
        <v>4.8741472104606214E-2</v>
      </c>
      <c r="AC64" s="79">
        <f t="shared" si="34"/>
        <v>1.5778298383452662E-2</v>
      </c>
      <c r="AD64" s="80">
        <f t="shared" si="35"/>
        <v>2.6837355224100523E-2</v>
      </c>
      <c r="AE64">
        <v>368.16</v>
      </c>
      <c r="AF64" s="79">
        <f t="shared" si="36"/>
        <v>9.2351151673178769E-4</v>
      </c>
      <c r="AG64" s="79">
        <f t="shared" si="37"/>
        <v>-2.6148218166015453E-3</v>
      </c>
      <c r="AH64" s="79">
        <f t="shared" si="38"/>
        <v>1.3397621532404079E-2</v>
      </c>
      <c r="AI64" s="80">
        <f t="shared" si="39"/>
        <v>-1.9663798210612315E-2</v>
      </c>
      <c r="AJ64">
        <v>77.95</v>
      </c>
      <c r="AK64" s="79">
        <f t="shared" si="40"/>
        <v>0.21321359846055152</v>
      </c>
      <c r="AL64" s="79">
        <f t="shared" si="41"/>
        <v>0.20967526512721818</v>
      </c>
      <c r="AM64" s="79">
        <f t="shared" si="42"/>
        <v>1.1544522320092435E-2</v>
      </c>
      <c r="AN64" s="80">
        <f t="shared" si="43"/>
        <v>0.19701233639987215</v>
      </c>
      <c r="AO64">
        <v>68.64</v>
      </c>
      <c r="AP64" s="79">
        <f t="shared" si="44"/>
        <v>0.1251456876456877</v>
      </c>
      <c r="AQ64" s="79">
        <f t="shared" si="45"/>
        <v>0.12160735431235437</v>
      </c>
      <c r="AR64" s="79">
        <f t="shared" si="46"/>
        <v>7.2405226193704405E-3</v>
      </c>
      <c r="AS64" s="80">
        <f t="shared" si="47"/>
        <v>0.10914680730994467</v>
      </c>
      <c r="AT64" s="178">
        <f t="shared" si="17"/>
        <v>158.59281888165975</v>
      </c>
      <c r="AU64" s="80">
        <f t="shared" si="48"/>
        <v>4.1653489095501192E-2</v>
      </c>
      <c r="AV64">
        <v>51.87</v>
      </c>
      <c r="AW64" s="79">
        <f t="shared" si="49"/>
        <v>8.8683246577983595E-3</v>
      </c>
      <c r="AX64" s="79">
        <f t="shared" si="50"/>
        <v>5.329991324465027E-3</v>
      </c>
      <c r="AZ64" s="307">
        <f t="shared" si="51"/>
        <v>1.0369469083830744E-2</v>
      </c>
    </row>
    <row r="65" spans="2:52">
      <c r="B65" s="267">
        <v>45297</v>
      </c>
      <c r="C65">
        <v>81.28</v>
      </c>
      <c r="D65" s="79">
        <f t="shared" si="18"/>
        <v>1.045767716535426E-2</v>
      </c>
      <c r="E65" s="80">
        <f t="shared" si="19"/>
        <v>6.9193438320209275E-3</v>
      </c>
      <c r="F65">
        <v>193.25</v>
      </c>
      <c r="G65" s="79">
        <f t="shared" si="20"/>
        <v>-3.2445019404915967E-2</v>
      </c>
      <c r="H65" s="79">
        <f t="shared" si="21"/>
        <v>-3.5983352738249298E-2</v>
      </c>
      <c r="I65" s="79">
        <f t="shared" si="22"/>
        <v>8.0363026713914428E-3</v>
      </c>
      <c r="J65" s="80">
        <f t="shared" si="23"/>
        <v>-5.764049489574944E-2</v>
      </c>
      <c r="K65">
        <v>197.88</v>
      </c>
      <c r="L65" s="79">
        <f t="shared" si="24"/>
        <v>0.17278148372751162</v>
      </c>
      <c r="M65" s="79">
        <f t="shared" si="25"/>
        <v>0.16924315039417828</v>
      </c>
      <c r="N65" s="79">
        <f t="shared" si="26"/>
        <v>1.2357168328781252E-2</v>
      </c>
      <c r="O65" s="80">
        <f t="shared" si="52"/>
        <v>0.14326514257928832</v>
      </c>
      <c r="P65">
        <v>849.99</v>
      </c>
      <c r="Q65" s="79">
        <f t="shared" si="27"/>
        <v>-3.2929799174107939E-2</v>
      </c>
      <c r="R65" s="79">
        <f t="shared" si="28"/>
        <v>-3.646813250744127E-2</v>
      </c>
      <c r="S65" s="79">
        <f t="shared" si="53"/>
        <v>5.119923627747291E-3</v>
      </c>
      <c r="T65" s="80">
        <f t="shared" si="54"/>
        <v>-5.1981261298593116E-2</v>
      </c>
      <c r="U65">
        <v>674.88</v>
      </c>
      <c r="V65" s="79">
        <f t="shared" si="29"/>
        <v>-6.8945590327169237E-2</v>
      </c>
      <c r="W65" s="79">
        <f t="shared" si="30"/>
        <v>-7.2483923660502575E-2</v>
      </c>
      <c r="X65" s="79">
        <f t="shared" si="55"/>
        <v>7.9476873985942394E-3</v>
      </c>
      <c r="Y65" s="80">
        <f t="shared" si="31"/>
        <v>-0.10112761243072708</v>
      </c>
      <c r="Z65" s="249">
        <v>3961.5</v>
      </c>
      <c r="AA65" s="79">
        <f t="shared" si="32"/>
        <v>-6.2221380790104704E-2</v>
      </c>
      <c r="AB65" s="79">
        <f t="shared" si="33"/>
        <v>-6.5759714123438034E-2</v>
      </c>
      <c r="AC65" s="79">
        <f t="shared" si="34"/>
        <v>6.9540906986611719E-3</v>
      </c>
      <c r="AD65" s="80">
        <f t="shared" si="35"/>
        <v>-7.883962331915223E-2</v>
      </c>
      <c r="AE65">
        <v>344.24</v>
      </c>
      <c r="AF65" s="79">
        <f t="shared" si="36"/>
        <v>6.9486404833836904E-2</v>
      </c>
      <c r="AG65" s="79">
        <f t="shared" si="37"/>
        <v>6.5948071500503566E-2</v>
      </c>
      <c r="AH65" s="79">
        <f t="shared" si="38"/>
        <v>5.9048366952157011E-3</v>
      </c>
      <c r="AI65" s="80">
        <f t="shared" si="39"/>
        <v>5.6391879943681174E-2</v>
      </c>
      <c r="AJ65">
        <v>77.849999999999994</v>
      </c>
      <c r="AK65" s="79">
        <f t="shared" si="40"/>
        <v>1.2845215157354982E-3</v>
      </c>
      <c r="AL65" s="79">
        <f t="shared" si="41"/>
        <v>-2.2538118175978346E-3</v>
      </c>
      <c r="AM65" s="79">
        <f t="shared" si="42"/>
        <v>5.0881060387877892E-3</v>
      </c>
      <c r="AN65" s="80">
        <f t="shared" si="43"/>
        <v>-8.4603242636392233E-3</v>
      </c>
      <c r="AO65">
        <v>67.709999999999994</v>
      </c>
      <c r="AP65" s="79">
        <f t="shared" si="44"/>
        <v>1.373504652193187E-2</v>
      </c>
      <c r="AQ65" s="79">
        <f t="shared" si="45"/>
        <v>1.0196713188598537E-2</v>
      </c>
      <c r="AR65" s="79">
        <f t="shared" si="46"/>
        <v>3.1911711755695528E-3</v>
      </c>
      <c r="AS65" s="80">
        <f t="shared" si="47"/>
        <v>1.7855176299897235E-3</v>
      </c>
      <c r="AT65" s="178">
        <f t="shared" si="17"/>
        <v>152.25103217325238</v>
      </c>
      <c r="AU65" s="80">
        <f t="shared" si="48"/>
        <v>-1.497019641895548E-2</v>
      </c>
      <c r="AV65">
        <v>51.24</v>
      </c>
      <c r="AW65" s="79">
        <f t="shared" si="49"/>
        <v>1.2295081967213026E-2</v>
      </c>
      <c r="AX65" s="79">
        <f t="shared" si="50"/>
        <v>8.7567486338796935E-3</v>
      </c>
      <c r="AZ65" s="307">
        <f t="shared" si="51"/>
        <v>-1.837404801858766E-3</v>
      </c>
    </row>
    <row r="66" spans="2:52" s="69" customFormat="1" ht="18">
      <c r="B66" s="267">
        <v>45296</v>
      </c>
      <c r="C66">
        <v>79.290000000000006</v>
      </c>
      <c r="D66" s="79">
        <f t="shared" si="18"/>
        <v>2.5097742464371228E-2</v>
      </c>
      <c r="E66" s="80">
        <f t="shared" si="19"/>
        <v>2.1559409131037894E-2</v>
      </c>
      <c r="F66">
        <v>176.44</v>
      </c>
      <c r="G66" s="79">
        <f t="shared" si="20"/>
        <v>9.5273180684652015E-2</v>
      </c>
      <c r="H66" s="79">
        <f t="shared" si="21"/>
        <v>9.1734847351318677E-2</v>
      </c>
      <c r="I66" s="79">
        <f t="shared" si="22"/>
        <v>2.5039648469496214E-2</v>
      </c>
      <c r="J66" s="80">
        <f t="shared" si="23"/>
        <v>5.3074359395713755E-2</v>
      </c>
      <c r="K66">
        <v>178.08</v>
      </c>
      <c r="L66" s="79">
        <f t="shared" si="24"/>
        <v>0.11118598382749316</v>
      </c>
      <c r="M66" s="79">
        <f t="shared" si="25"/>
        <v>0.10764765049415982</v>
      </c>
      <c r="N66" s="79">
        <f t="shared" si="26"/>
        <v>3.8502675133501446E-2</v>
      </c>
      <c r="O66" s="80">
        <f t="shared" si="52"/>
        <v>5.5524135874549671E-2</v>
      </c>
      <c r="P66">
        <v>809.89</v>
      </c>
      <c r="Q66" s="79">
        <f t="shared" si="27"/>
        <v>4.9512896813147494E-2</v>
      </c>
      <c r="R66" s="79">
        <f t="shared" si="28"/>
        <v>4.5974563479814164E-2</v>
      </c>
      <c r="S66" s="79">
        <f t="shared" si="53"/>
        <v>1.5952745070919861E-2</v>
      </c>
      <c r="T66" s="80">
        <f t="shared" si="54"/>
        <v>1.9628613245489739E-2</v>
      </c>
      <c r="U66">
        <v>641.62</v>
      </c>
      <c r="V66" s="79">
        <f t="shared" si="29"/>
        <v>5.1837536236401596E-2</v>
      </c>
      <c r="W66" s="79">
        <f t="shared" si="30"/>
        <v>4.8299202903068265E-2</v>
      </c>
      <c r="X66" s="79">
        <f t="shared" si="55"/>
        <v>2.4763539496178228E-2</v>
      </c>
      <c r="Y66" s="80">
        <f t="shared" si="31"/>
        <v>2.8396620352597601E-3</v>
      </c>
      <c r="Z66" s="249">
        <v>3776.35</v>
      </c>
      <c r="AA66" s="79">
        <f t="shared" si="32"/>
        <v>4.9028824129119415E-2</v>
      </c>
      <c r="AB66" s="79">
        <f t="shared" si="33"/>
        <v>4.5490490795786084E-2</v>
      </c>
      <c r="AC66" s="79">
        <f t="shared" si="34"/>
        <v>2.1667674008764001E-2</v>
      </c>
      <c r="AD66" s="80">
        <f t="shared" si="35"/>
        <v>1.7696998289969054E-2</v>
      </c>
      <c r="AE66">
        <v>334.87</v>
      </c>
      <c r="AF66" s="79">
        <f t="shared" si="36"/>
        <v>2.7981007555170676E-2</v>
      </c>
      <c r="AG66" s="79">
        <f t="shared" si="37"/>
        <v>2.4442674221837341E-2</v>
      </c>
      <c r="AH66" s="79">
        <f t="shared" si="38"/>
        <v>1.8398390548969031E-2</v>
      </c>
      <c r="AI66" s="80">
        <f t="shared" si="39"/>
        <v>2.3929288112616159E-3</v>
      </c>
      <c r="AJ66">
        <v>80.22</v>
      </c>
      <c r="AK66" s="79">
        <f t="shared" si="40"/>
        <v>-2.9543754674644783E-2</v>
      </c>
      <c r="AL66" s="79">
        <f t="shared" si="41"/>
        <v>-3.3082088007978114E-2</v>
      </c>
      <c r="AM66" s="79">
        <f t="shared" si="42"/>
        <v>1.585360728638506E-2</v>
      </c>
      <c r="AN66" s="80">
        <f t="shared" si="43"/>
        <v>-5.0054101701616775E-2</v>
      </c>
      <c r="AO66">
        <v>65.760000000000005</v>
      </c>
      <c r="AP66" s="79">
        <f t="shared" si="44"/>
        <v>2.9653284671532672E-2</v>
      </c>
      <c r="AQ66" s="79">
        <f t="shared" si="45"/>
        <v>2.6114951338199337E-2</v>
      </c>
      <c r="AR66" s="79">
        <f t="shared" si="46"/>
        <v>9.9431053943137924E-3</v>
      </c>
      <c r="AS66" s="80">
        <f t="shared" si="47"/>
        <v>1.0951821560846285E-2</v>
      </c>
      <c r="AT66" s="178">
        <f t="shared" si="17"/>
        <v>154.56489907183376</v>
      </c>
      <c r="AU66" s="80">
        <f t="shared" si="48"/>
        <v>4.9994780861377638E-2</v>
      </c>
      <c r="AV66">
        <v>51.14</v>
      </c>
      <c r="AW66" s="79">
        <f t="shared" si="49"/>
        <v>1.9554165037153192E-3</v>
      </c>
      <c r="AX66" s="79">
        <f t="shared" si="50"/>
        <v>-1.5829168296180138E-3</v>
      </c>
      <c r="AZ66" s="307">
        <f t="shared" si="51"/>
        <v>2.3142325960655907E-2</v>
      </c>
    </row>
    <row r="67" spans="2:52">
      <c r="B67" s="267">
        <v>45295</v>
      </c>
      <c r="C67">
        <v>77.709999999999994</v>
      </c>
      <c r="D67" s="79">
        <f t="shared" si="18"/>
        <v>2.0332003603140043E-2</v>
      </c>
      <c r="E67" s="80">
        <f t="shared" si="19"/>
        <v>1.6793670269806708E-2</v>
      </c>
      <c r="F67">
        <v>175</v>
      </c>
      <c r="G67" s="79">
        <f t="shared" si="20"/>
        <v>8.228571428571415E-3</v>
      </c>
      <c r="H67" s="79">
        <f t="shared" si="21"/>
        <v>4.6902380952380824E-3</v>
      </c>
      <c r="I67" s="79">
        <f t="shared" si="22"/>
        <v>1.9504597621982506E-2</v>
      </c>
      <c r="J67" s="80">
        <f t="shared" si="23"/>
        <v>-2.8435199012853123E-2</v>
      </c>
      <c r="K67">
        <v>183.28</v>
      </c>
      <c r="L67" s="79">
        <f t="shared" si="24"/>
        <v>-2.8371890004364846E-2</v>
      </c>
      <c r="M67" s="79">
        <f t="shared" si="25"/>
        <v>-3.1910223337698176E-2</v>
      </c>
      <c r="N67" s="79">
        <f t="shared" si="26"/>
        <v>2.9991602588339637E-2</v>
      </c>
      <c r="O67" s="80">
        <f t="shared" si="52"/>
        <v>-7.5522665412146514E-2</v>
      </c>
      <c r="P67">
        <v>722.9</v>
      </c>
      <c r="Q67" s="79">
        <f t="shared" si="27"/>
        <v>0.12033476276110114</v>
      </c>
      <c r="R67" s="79">
        <f t="shared" si="28"/>
        <v>0.1167964294277678</v>
      </c>
      <c r="S67" s="79">
        <f t="shared" si="53"/>
        <v>1.2426367484887334E-2</v>
      </c>
      <c r="T67" s="80">
        <f t="shared" si="54"/>
        <v>9.3976856779475912E-2</v>
      </c>
      <c r="U67">
        <v>550.64</v>
      </c>
      <c r="V67" s="79">
        <f t="shared" si="29"/>
        <v>0.16522591893069885</v>
      </c>
      <c r="W67" s="79">
        <f t="shared" si="30"/>
        <v>0.16168758559736551</v>
      </c>
      <c r="X67" s="79">
        <f t="shared" si="55"/>
        <v>1.9289522940285332E-2</v>
      </c>
      <c r="Y67" s="80">
        <f t="shared" si="31"/>
        <v>0.12170206128544991</v>
      </c>
      <c r="Z67" s="249">
        <v>3452.03</v>
      </c>
      <c r="AA67" s="79">
        <f t="shared" si="32"/>
        <v>9.3950516073151066E-2</v>
      </c>
      <c r="AB67" s="79">
        <f t="shared" si="33"/>
        <v>9.0412182739817729E-2</v>
      </c>
      <c r="AC67" s="79">
        <f t="shared" si="34"/>
        <v>1.6878003038264432E-2</v>
      </c>
      <c r="AD67" s="80">
        <f t="shared" si="35"/>
        <v>6.7408361204500264E-2</v>
      </c>
      <c r="AE67">
        <v>334.22</v>
      </c>
      <c r="AF67" s="79">
        <f t="shared" si="36"/>
        <v>1.9448267608161607E-3</v>
      </c>
      <c r="AG67" s="79">
        <f t="shared" si="37"/>
        <v>-1.5935065725171723E-3</v>
      </c>
      <c r="AH67" s="79">
        <f t="shared" si="38"/>
        <v>1.4331399459816247E-2</v>
      </c>
      <c r="AI67" s="80">
        <f t="shared" si="39"/>
        <v>-1.9576260893940114E-2</v>
      </c>
      <c r="AJ67">
        <v>88.49</v>
      </c>
      <c r="AK67" s="79">
        <f t="shared" si="40"/>
        <v>-9.3456887783930354E-2</v>
      </c>
      <c r="AL67" s="79">
        <f t="shared" si="41"/>
        <v>-9.6995221117263691E-2</v>
      </c>
      <c r="AM67" s="79">
        <f t="shared" si="42"/>
        <v>1.2349144252347082E-2</v>
      </c>
      <c r="AN67" s="80">
        <f t="shared" si="43"/>
        <v>-0.11046277177686437</v>
      </c>
      <c r="AO67">
        <v>59.35</v>
      </c>
      <c r="AP67" s="79">
        <f t="shared" si="44"/>
        <v>0.10800336983993267</v>
      </c>
      <c r="AQ67" s="79">
        <f t="shared" si="45"/>
        <v>0.10446503650659933</v>
      </c>
      <c r="AR67" s="79">
        <f t="shared" si="46"/>
        <v>7.7451674317756949E-3</v>
      </c>
      <c r="AS67" s="80">
        <f t="shared" si="47"/>
        <v>9.1499844691784377E-2</v>
      </c>
      <c r="AT67" s="178">
        <f t="shared" si="17"/>
        <v>147.20539748305637</v>
      </c>
      <c r="AU67" s="80">
        <f t="shared" si="48"/>
        <v>6.4469656032662789E-2</v>
      </c>
      <c r="AV67">
        <v>50.79</v>
      </c>
      <c r="AW67" s="79">
        <f t="shared" si="49"/>
        <v>6.8911202992715378E-3</v>
      </c>
      <c r="AX67" s="79">
        <f t="shared" si="50"/>
        <v>3.3527869659382048E-3</v>
      </c>
      <c r="AZ67" s="307">
        <f t="shared" si="51"/>
        <v>1.3440883303868504E-2</v>
      </c>
    </row>
    <row r="68" spans="2:52">
      <c r="B68" s="267">
        <v>45294</v>
      </c>
      <c r="C68">
        <v>81.97</v>
      </c>
      <c r="D68" s="79">
        <f t="shared" si="18"/>
        <v>-5.1970233012077656E-2</v>
      </c>
      <c r="E68" s="80">
        <f t="shared" si="19"/>
        <v>-5.5508566345410987E-2</v>
      </c>
      <c r="F68">
        <v>180.38</v>
      </c>
      <c r="G68" s="79">
        <f t="shared" si="20"/>
        <v>-2.9825923051336044E-2</v>
      </c>
      <c r="H68" s="79">
        <f t="shared" si="21"/>
        <v>-3.3364256384669375E-2</v>
      </c>
      <c r="I68" s="79">
        <f t="shared" si="22"/>
        <v>-6.4469066841623929E-2</v>
      </c>
      <c r="J68" s="80">
        <f t="shared" si="23"/>
        <v>1.7483970970845857E-2</v>
      </c>
      <c r="K68">
        <v>175.79</v>
      </c>
      <c r="L68" s="79">
        <f t="shared" si="24"/>
        <v>4.260765686330286E-2</v>
      </c>
      <c r="M68" s="79">
        <f t="shared" si="25"/>
        <v>3.906932352996953E-2</v>
      </c>
      <c r="N68" s="79">
        <f t="shared" si="26"/>
        <v>-9.9132044117429971E-2</v>
      </c>
      <c r="O68" s="80">
        <f t="shared" si="52"/>
        <v>0.12458052816129081</v>
      </c>
      <c r="P68">
        <v>732.63</v>
      </c>
      <c r="Q68" s="79">
        <f t="shared" si="27"/>
        <v>-1.3280919427268905E-2</v>
      </c>
      <c r="R68" s="79">
        <f t="shared" si="28"/>
        <v>-1.6819252760602237E-2</v>
      </c>
      <c r="S68" s="79">
        <f t="shared" si="53"/>
        <v>-4.1073203944432667E-2</v>
      </c>
      <c r="T68" s="80">
        <f t="shared" si="54"/>
        <v>1.386074602042587E-2</v>
      </c>
      <c r="U68">
        <v>607.33000000000004</v>
      </c>
      <c r="V68" s="79">
        <f t="shared" si="29"/>
        <v>-9.334299310095015E-2</v>
      </c>
      <c r="W68" s="79">
        <f t="shared" si="30"/>
        <v>-9.6881326434283488E-2</v>
      </c>
      <c r="X68" s="79">
        <f t="shared" si="55"/>
        <v>-6.3758174758690167E-2</v>
      </c>
      <c r="Y68" s="80">
        <f t="shared" si="31"/>
        <v>-5.3819153047223595E-2</v>
      </c>
      <c r="Z68" s="249">
        <v>3627.88</v>
      </c>
      <c r="AA68" s="79">
        <f t="shared" si="32"/>
        <v>-4.8471834790566368E-2</v>
      </c>
      <c r="AB68" s="79">
        <f t="shared" si="33"/>
        <v>-5.2010168123899699E-2</v>
      </c>
      <c r="AC68" s="79">
        <f t="shared" si="34"/>
        <v>-5.5787313694728911E-2</v>
      </c>
      <c r="AD68" s="80">
        <f t="shared" si="35"/>
        <v>-2.348672926223816E-3</v>
      </c>
      <c r="AE68">
        <v>383.6</v>
      </c>
      <c r="AF68" s="79">
        <f t="shared" si="36"/>
        <v>-0.12872784150156411</v>
      </c>
      <c r="AG68" s="79">
        <f t="shared" si="37"/>
        <v>-0.13226617483489744</v>
      </c>
      <c r="AH68" s="79">
        <f t="shared" si="38"/>
        <v>-4.7369956951462379E-2</v>
      </c>
      <c r="AI68" s="80">
        <f t="shared" si="39"/>
        <v>-8.8547572745041769E-2</v>
      </c>
      <c r="AJ68">
        <v>91.39</v>
      </c>
      <c r="AK68" s="79">
        <f t="shared" si="40"/>
        <v>-3.1732136995294952E-2</v>
      </c>
      <c r="AL68" s="79">
        <f t="shared" si="41"/>
        <v>-3.5270470328628283E-2</v>
      </c>
      <c r="AM68" s="79">
        <f t="shared" si="42"/>
        <v>-4.0817955933842957E-2</v>
      </c>
      <c r="AN68" s="80">
        <f t="shared" si="43"/>
        <v>4.4290791979610736E-3</v>
      </c>
      <c r="AO68">
        <v>60.17</v>
      </c>
      <c r="AP68" s="79">
        <f t="shared" si="44"/>
        <v>-1.362805384743228E-2</v>
      </c>
      <c r="AQ68" s="79">
        <f t="shared" si="45"/>
        <v>-1.7166387180765613E-2</v>
      </c>
      <c r="AR68" s="79">
        <f t="shared" si="46"/>
        <v>-2.5600308529100703E-2</v>
      </c>
      <c r="AS68" s="80">
        <f t="shared" si="47"/>
        <v>3.2138969652958302E-3</v>
      </c>
      <c r="AT68" s="178">
        <f t="shared" si="17"/>
        <v>138.28989548814292</v>
      </c>
      <c r="AU68" s="80">
        <f t="shared" si="48"/>
        <v>-5.1506025429173347E-2</v>
      </c>
      <c r="AV68">
        <v>51.28</v>
      </c>
      <c r="AW68" s="79">
        <f t="shared" si="49"/>
        <v>-9.5553822152886509E-3</v>
      </c>
      <c r="AX68" s="79">
        <f t="shared" si="50"/>
        <v>-1.3093715548621983E-2</v>
      </c>
      <c r="AZ68" s="307">
        <f t="shared" si="51"/>
        <v>-4.2414850796789E-2</v>
      </c>
    </row>
    <row r="69" spans="2:52">
      <c r="B69" s="267">
        <v>45293</v>
      </c>
      <c r="C69">
        <v>80.91</v>
      </c>
      <c r="D69" s="79">
        <f t="shared" si="18"/>
        <v>1.3100976393523697E-2</v>
      </c>
      <c r="E69" s="80">
        <f t="shared" si="19"/>
        <v>9.562643060190364E-3</v>
      </c>
      <c r="F69">
        <v>176.76</v>
      </c>
      <c r="G69" s="79">
        <f t="shared" si="20"/>
        <v>2.0479746548993011E-2</v>
      </c>
      <c r="H69" s="79">
        <f t="shared" si="21"/>
        <v>1.6941413215659677E-2</v>
      </c>
      <c r="I69" s="79">
        <f t="shared" si="22"/>
        <v>1.1106297914339319E-2</v>
      </c>
      <c r="J69" s="80">
        <f t="shared" si="23"/>
        <v>-7.7857241847883417E-3</v>
      </c>
      <c r="K69">
        <v>201.88</v>
      </c>
      <c r="L69" s="79">
        <f t="shared" si="24"/>
        <v>-0.1292351892213196</v>
      </c>
      <c r="M69" s="79">
        <f t="shared" si="25"/>
        <v>-0.13277352255465294</v>
      </c>
      <c r="N69" s="79">
        <f t="shared" si="26"/>
        <v>1.7077802871419266E-2</v>
      </c>
      <c r="O69" s="80">
        <f t="shared" si="52"/>
        <v>-0.16347216491218092</v>
      </c>
      <c r="P69">
        <v>743.89</v>
      </c>
      <c r="Q69" s="79">
        <f t="shared" si="27"/>
        <v>-1.5136646547204547E-2</v>
      </c>
      <c r="R69" s="79">
        <f t="shared" si="28"/>
        <v>-1.867497988053788E-2</v>
      </c>
      <c r="S69" s="79">
        <f t="shared" si="53"/>
        <v>7.0758157617501413E-3</v>
      </c>
      <c r="T69" s="80">
        <f t="shared" si="54"/>
        <v>-3.6144000805692578E-2</v>
      </c>
      <c r="U69">
        <v>602.91999999999996</v>
      </c>
      <c r="V69" s="79">
        <f t="shared" si="29"/>
        <v>7.3144032375772605E-3</v>
      </c>
      <c r="W69" s="79">
        <f t="shared" si="30"/>
        <v>3.7760699042439275E-3</v>
      </c>
      <c r="X69" s="79">
        <f t="shared" si="55"/>
        <v>1.0983830200057002E-2</v>
      </c>
      <c r="Y69" s="80">
        <f t="shared" si="31"/>
        <v>-2.7903761667443353E-2</v>
      </c>
      <c r="Z69" s="249">
        <v>3468.83</v>
      </c>
      <c r="AA69" s="79">
        <f t="shared" si="32"/>
        <v>4.58511947832555E-2</v>
      </c>
      <c r="AB69" s="79">
        <f t="shared" si="33"/>
        <v>4.2312861449922169E-2</v>
      </c>
      <c r="AC69" s="79">
        <f t="shared" si="34"/>
        <v>9.6106637816933231E-3</v>
      </c>
      <c r="AD69" s="80">
        <f t="shared" si="35"/>
        <v>2.6576379171175817E-2</v>
      </c>
      <c r="AE69">
        <v>380.61</v>
      </c>
      <c r="AF69" s="79">
        <f t="shared" si="36"/>
        <v>7.8558104096056562E-3</v>
      </c>
      <c r="AG69" s="79">
        <f t="shared" si="37"/>
        <v>4.3174770762723236E-3</v>
      </c>
      <c r="AH69" s="79">
        <f t="shared" si="38"/>
        <v>8.1605780859960366E-3</v>
      </c>
      <c r="AI69" s="80">
        <f t="shared" si="39"/>
        <v>-7.494455871330406E-3</v>
      </c>
      <c r="AJ69">
        <v>94.9</v>
      </c>
      <c r="AK69" s="79">
        <f t="shared" si="40"/>
        <v>-3.6986301369863063E-2</v>
      </c>
      <c r="AL69" s="79">
        <f t="shared" si="41"/>
        <v>-4.0524634703196394E-2</v>
      </c>
      <c r="AM69" s="79">
        <f t="shared" si="42"/>
        <v>7.0318433485210821E-3</v>
      </c>
      <c r="AN69" s="80">
        <f t="shared" si="43"/>
        <v>-4.8674884458971078E-2</v>
      </c>
      <c r="AO69">
        <v>58.61</v>
      </c>
      <c r="AP69" s="79">
        <f t="shared" si="44"/>
        <v>2.6616618324518039E-2</v>
      </c>
      <c r="AQ69" s="79">
        <f t="shared" si="45"/>
        <v>2.3078284991184705E-2</v>
      </c>
      <c r="AR69" s="79">
        <f t="shared" si="46"/>
        <v>4.4102492428139553E-3</v>
      </c>
      <c r="AS69" s="80">
        <f t="shared" si="47"/>
        <v>1.344801136533149E-2</v>
      </c>
      <c r="AT69" s="178">
        <f t="shared" si="17"/>
        <v>145.79944543212957</v>
      </c>
      <c r="AU69" s="80">
        <f t="shared" si="48"/>
        <v>5.6843676314512568E-3</v>
      </c>
      <c r="AV69">
        <v>51.07</v>
      </c>
      <c r="AW69" s="79">
        <f t="shared" si="49"/>
        <v>4.1120031329547847E-3</v>
      </c>
      <c r="AX69" s="79">
        <f t="shared" si="50"/>
        <v>5.7366979962145169E-4</v>
      </c>
      <c r="AZ69" s="307">
        <f t="shared" si="51"/>
        <v>8.9889732605689127E-3</v>
      </c>
    </row>
    <row r="70" spans="2:52">
      <c r="B70" s="267">
        <v>45292</v>
      </c>
      <c r="C70">
        <v>74.790000000000006</v>
      </c>
      <c r="D70" s="79">
        <f t="shared" si="18"/>
        <v>8.1829121540312744E-2</v>
      </c>
      <c r="E70" s="80">
        <f t="shared" si="19"/>
        <v>7.8290788206979406E-2</v>
      </c>
      <c r="F70">
        <v>155.19999999999999</v>
      </c>
      <c r="G70" s="79">
        <f t="shared" si="20"/>
        <v>0.13891752577319591</v>
      </c>
      <c r="H70" s="79">
        <f t="shared" si="21"/>
        <v>0.13537919243986257</v>
      </c>
      <c r="I70" s="79">
        <f t="shared" si="22"/>
        <v>9.0928921251385408E-2</v>
      </c>
      <c r="J70" s="80">
        <f t="shared" si="23"/>
        <v>3.0829431702368459E-2</v>
      </c>
      <c r="K70">
        <v>187.29</v>
      </c>
      <c r="L70" s="79">
        <f t="shared" si="24"/>
        <v>7.790058198515673E-2</v>
      </c>
      <c r="M70" s="79">
        <f t="shared" si="25"/>
        <v>7.4362248651823393E-2</v>
      </c>
      <c r="N70" s="79">
        <f t="shared" si="26"/>
        <v>0.13981852498635605</v>
      </c>
      <c r="O70" s="80">
        <f t="shared" si="52"/>
        <v>-7.9077115820641364E-2</v>
      </c>
      <c r="P70">
        <v>694.88</v>
      </c>
      <c r="Q70" s="79">
        <f t="shared" si="27"/>
        <v>7.0530163481464417E-2</v>
      </c>
      <c r="R70" s="79">
        <f t="shared" si="28"/>
        <v>6.6991830148131079E-2</v>
      </c>
      <c r="S70" s="79">
        <f t="shared" si="53"/>
        <v>5.793076137087972E-2</v>
      </c>
      <c r="T70" s="80">
        <f t="shared" si="54"/>
        <v>-1.3321363861531973E-3</v>
      </c>
      <c r="U70">
        <v>564.11</v>
      </c>
      <c r="V70" s="79">
        <f t="shared" si="29"/>
        <v>6.8798638563400655E-2</v>
      </c>
      <c r="W70" s="79">
        <f t="shared" si="30"/>
        <v>6.5260305230067317E-2</v>
      </c>
      <c r="X70" s="79">
        <f t="shared" si="55"/>
        <v>8.9926259767450556E-2</v>
      </c>
      <c r="Y70" s="80">
        <f t="shared" si="31"/>
        <v>-4.5361955909013513E-2</v>
      </c>
      <c r="Z70" s="249">
        <v>3507.47</v>
      </c>
      <c r="AA70" s="79">
        <f t="shared" si="32"/>
        <v>-1.1016487667749082E-2</v>
      </c>
      <c r="AB70" s="79">
        <f t="shared" si="33"/>
        <v>-1.4554821001082414E-2</v>
      </c>
      <c r="AC70" s="79">
        <f t="shared" si="34"/>
        <v>7.8683941032309232E-2</v>
      </c>
      <c r="AD70" s="80">
        <f t="shared" si="35"/>
        <v>-9.9364580530444682E-2</v>
      </c>
      <c r="AE70">
        <v>352.96</v>
      </c>
      <c r="AF70" s="79">
        <f t="shared" si="36"/>
        <v>7.833748866727118E-2</v>
      </c>
      <c r="AG70" s="79">
        <f t="shared" si="37"/>
        <v>7.4799155333937842E-2</v>
      </c>
      <c r="AH70" s="79">
        <f t="shared" si="38"/>
        <v>6.6811872675347411E-2</v>
      </c>
      <c r="AI70" s="80">
        <f t="shared" si="39"/>
        <v>4.3359277969837323E-3</v>
      </c>
      <c r="AJ70">
        <v>93.03</v>
      </c>
      <c r="AK70" s="79">
        <f t="shared" si="40"/>
        <v>2.0101042674406155E-2</v>
      </c>
      <c r="AL70" s="79">
        <f t="shared" si="41"/>
        <v>1.6562709341072821E-2</v>
      </c>
      <c r="AM70" s="79">
        <f t="shared" si="42"/>
        <v>5.7570752650550311E-2</v>
      </c>
      <c r="AN70" s="80">
        <f t="shared" si="43"/>
        <v>-4.2126449716731088E-2</v>
      </c>
      <c r="AO70">
        <v>55.08</v>
      </c>
      <c r="AP70" s="79">
        <f t="shared" si="44"/>
        <v>6.4088598402323921E-2</v>
      </c>
      <c r="AQ70" s="79">
        <f t="shared" si="45"/>
        <v>6.055026506899059E-2</v>
      </c>
      <c r="AR70" s="79">
        <f t="shared" si="46"/>
        <v>3.6107369817719115E-2</v>
      </c>
      <c r="AS70" s="80">
        <f t="shared" si="47"/>
        <v>1.9222870868232211E-2</v>
      </c>
      <c r="AT70" s="178">
        <f t="shared" si="17"/>
        <v>144.97535223254067</v>
      </c>
      <c r="AU70" s="80">
        <f t="shared" si="48"/>
        <v>7.2097199603221612E-2</v>
      </c>
      <c r="AV70">
        <v>51.48</v>
      </c>
      <c r="AW70" s="79">
        <f t="shared" si="49"/>
        <v>-7.9642579642578981E-3</v>
      </c>
      <c r="AX70" s="79">
        <f t="shared" si="50"/>
        <v>-1.1502591297591231E-2</v>
      </c>
      <c r="AZ70" s="307">
        <f t="shared" si="51"/>
        <v>8.9793379504570642E-2</v>
      </c>
    </row>
    <row r="71" spans="2:52">
      <c r="B71" s="267">
        <v>44938</v>
      </c>
      <c r="C71">
        <v>75.77</v>
      </c>
      <c r="D71" s="79">
        <f t="shared" si="18"/>
        <v>-1.293387884386947E-2</v>
      </c>
      <c r="E71" s="80">
        <f t="shared" si="19"/>
        <v>-1.6472212177202804E-2</v>
      </c>
      <c r="F71">
        <v>151.94</v>
      </c>
      <c r="G71" s="79">
        <f t="shared" si="20"/>
        <v>2.1455837830722593E-2</v>
      </c>
      <c r="H71" s="79">
        <f t="shared" si="21"/>
        <v>1.7917504497389259E-2</v>
      </c>
      <c r="I71" s="79">
        <f t="shared" si="22"/>
        <v>-1.913124798203859E-2</v>
      </c>
      <c r="J71" s="80">
        <f t="shared" si="23"/>
        <v>2.3427912993319151E-2</v>
      </c>
      <c r="K71">
        <v>248.48</v>
      </c>
      <c r="L71" s="79">
        <f t="shared" si="24"/>
        <v>-0.24625724404378621</v>
      </c>
      <c r="M71" s="79">
        <f t="shared" si="25"/>
        <v>-0.24979557737711955</v>
      </c>
      <c r="N71" s="79">
        <f t="shared" si="26"/>
        <v>-2.9417514660728269E-2</v>
      </c>
      <c r="O71" s="80">
        <f t="shared" si="52"/>
        <v>-0.23399890220249997</v>
      </c>
      <c r="P71">
        <v>660.08</v>
      </c>
      <c r="Q71" s="79">
        <f t="shared" si="27"/>
        <v>5.2720882317294798E-2</v>
      </c>
      <c r="R71" s="79">
        <f t="shared" si="28"/>
        <v>4.9182548983961467E-2</v>
      </c>
      <c r="S71" s="79">
        <f t="shared" si="53"/>
        <v>-1.218850665247187E-2</v>
      </c>
      <c r="T71" s="80">
        <f t="shared" si="54"/>
        <v>5.0977850473028774E-2</v>
      </c>
      <c r="U71">
        <v>486.88</v>
      </c>
      <c r="V71" s="79">
        <f t="shared" si="29"/>
        <v>0.15862224778179432</v>
      </c>
      <c r="W71" s="79">
        <f t="shared" si="30"/>
        <v>0.15508391444846098</v>
      </c>
      <c r="X71" s="79">
        <f t="shared" si="55"/>
        <v>-1.8920290178655392E-2</v>
      </c>
      <c r="Y71" s="80">
        <f t="shared" si="31"/>
        <v>0.15330820325548611</v>
      </c>
      <c r="Z71" s="249">
        <v>3547.22</v>
      </c>
      <c r="AA71" s="79">
        <f t="shared" si="32"/>
        <v>-1.1205958468885495E-2</v>
      </c>
      <c r="AB71" s="79">
        <f t="shared" si="33"/>
        <v>-1.4744291802218827E-2</v>
      </c>
      <c r="AC71" s="79">
        <f t="shared" si="34"/>
        <v>-1.655493067966287E-2</v>
      </c>
      <c r="AD71" s="80">
        <f t="shared" si="35"/>
        <v>-4.315179619608988E-3</v>
      </c>
      <c r="AE71">
        <v>346.55</v>
      </c>
      <c r="AF71" s="79">
        <f t="shared" si="36"/>
        <v>1.8496609435867749E-2</v>
      </c>
      <c r="AG71" s="79">
        <f t="shared" si="37"/>
        <v>1.4958276102534416E-2</v>
      </c>
      <c r="AH71" s="79">
        <f t="shared" si="38"/>
        <v>-1.4057073224950249E-2</v>
      </c>
      <c r="AI71" s="80">
        <f t="shared" si="39"/>
        <v>2.5363994465877972E-2</v>
      </c>
      <c r="AJ71">
        <v>96.01</v>
      </c>
      <c r="AK71" s="79">
        <f t="shared" si="40"/>
        <v>-3.1038433496510819E-2</v>
      </c>
      <c r="AL71" s="79">
        <f t="shared" si="41"/>
        <v>-3.4576766829844154E-2</v>
      </c>
      <c r="AM71" s="79">
        <f t="shared" si="42"/>
        <v>-1.2112761597878326E-2</v>
      </c>
      <c r="AN71" s="80">
        <f t="shared" si="43"/>
        <v>-2.3582411639219428E-2</v>
      </c>
      <c r="AO71">
        <v>52.55</v>
      </c>
      <c r="AP71" s="79">
        <f t="shared" si="44"/>
        <v>4.8144624167459585E-2</v>
      </c>
      <c r="AQ71" s="79">
        <f t="shared" si="45"/>
        <v>4.4606290834126254E-2</v>
      </c>
      <c r="AR71" s="79">
        <f t="shared" si="46"/>
        <v>-7.5969123624837365E-3</v>
      </c>
      <c r="AS71" s="80">
        <f t="shared" si="47"/>
        <v>4.6983178813570725E-2</v>
      </c>
      <c r="AT71" s="178">
        <f t="shared" si="17"/>
        <v>135.22594060146358</v>
      </c>
      <c r="AU71" s="80">
        <f t="shared" si="48"/>
        <v>3.1035545765551266E-2</v>
      </c>
      <c r="AV71">
        <v>51.28</v>
      </c>
      <c r="AW71" s="79">
        <f t="shared" si="49"/>
        <v>3.9001560062401665E-3</v>
      </c>
      <c r="AX71" s="79">
        <f t="shared" si="50"/>
        <v>3.6182267290683348E-4</v>
      </c>
      <c r="AZ71" s="307">
        <f t="shared" si="51"/>
        <v>-1.6834034850109637E-2</v>
      </c>
    </row>
    <row r="72" spans="2:52">
      <c r="B72" s="267">
        <v>44937</v>
      </c>
      <c r="C72">
        <v>71.27</v>
      </c>
      <c r="D72" s="79">
        <f t="shared" si="18"/>
        <v>6.3140171180019647E-2</v>
      </c>
      <c r="E72" s="80">
        <f t="shared" si="19"/>
        <v>5.9601837846686316E-2</v>
      </c>
      <c r="F72">
        <v>146.09</v>
      </c>
      <c r="G72" s="79">
        <f t="shared" si="20"/>
        <v>4.0043808611130084E-2</v>
      </c>
      <c r="H72" s="79">
        <f t="shared" si="21"/>
        <v>3.6505475277796753E-2</v>
      </c>
      <c r="I72" s="79">
        <f t="shared" si="22"/>
        <v>6.9223096920054336E-2</v>
      </c>
      <c r="J72" s="80">
        <f t="shared" si="23"/>
        <v>-4.633846112836628E-2</v>
      </c>
      <c r="K72">
        <v>240.08</v>
      </c>
      <c r="L72" s="79">
        <f t="shared" si="24"/>
        <v>3.4988337220926265E-2</v>
      </c>
      <c r="M72" s="79">
        <f t="shared" si="25"/>
        <v>3.1450003887592934E-2</v>
      </c>
      <c r="N72" s="79">
        <f t="shared" si="26"/>
        <v>0.1064421657394522</v>
      </c>
      <c r="O72" s="80">
        <f t="shared" si="52"/>
        <v>-8.8613001337967956E-2</v>
      </c>
      <c r="P72">
        <v>579.55999999999995</v>
      </c>
      <c r="Q72" s="79">
        <f t="shared" si="27"/>
        <v>0.13893298364276366</v>
      </c>
      <c r="R72" s="79">
        <f t="shared" si="28"/>
        <v>0.13539465030943032</v>
      </c>
      <c r="S72" s="79">
        <f t="shared" si="53"/>
        <v>4.4101993665385614E-2</v>
      </c>
      <c r="T72" s="80">
        <f t="shared" si="54"/>
        <v>8.089945148064015E-2</v>
      </c>
      <c r="U72">
        <v>473.97</v>
      </c>
      <c r="V72" s="79">
        <f t="shared" si="29"/>
        <v>2.7238010844568152E-2</v>
      </c>
      <c r="W72" s="79">
        <f t="shared" si="30"/>
        <v>2.3699677511234817E-2</v>
      </c>
      <c r="X72" s="79">
        <f t="shared" si="55"/>
        <v>6.8459782760761256E-2</v>
      </c>
      <c r="Y72" s="80">
        <f t="shared" si="31"/>
        <v>-6.5456106621156723E-2</v>
      </c>
      <c r="Z72" s="249">
        <v>3125.7</v>
      </c>
      <c r="AA72" s="79">
        <f t="shared" si="32"/>
        <v>0.13485619221294431</v>
      </c>
      <c r="AB72" s="79">
        <f t="shared" si="33"/>
        <v>0.13131785887961098</v>
      </c>
      <c r="AC72" s="79">
        <f t="shared" si="34"/>
        <v>5.9901140376152816E-2</v>
      </c>
      <c r="AD72" s="80">
        <f t="shared" si="35"/>
        <v>6.5290900006405111E-2</v>
      </c>
      <c r="AE72">
        <v>313.49</v>
      </c>
      <c r="AF72" s="79">
        <f t="shared" si="36"/>
        <v>0.10545790934320075</v>
      </c>
      <c r="AG72" s="79">
        <f t="shared" si="37"/>
        <v>0.10191957600986741</v>
      </c>
      <c r="AH72" s="79">
        <f t="shared" si="38"/>
        <v>5.0863077159242528E-2</v>
      </c>
      <c r="AI72" s="80">
        <f t="shared" si="39"/>
        <v>4.7405143989018184E-2</v>
      </c>
      <c r="AJ72">
        <v>99.3</v>
      </c>
      <c r="AK72" s="79">
        <f t="shared" si="40"/>
        <v>-3.3131923464249667E-2</v>
      </c>
      <c r="AL72" s="79">
        <f t="shared" si="41"/>
        <v>-3.6670256797582998E-2</v>
      </c>
      <c r="AM72" s="79">
        <f t="shared" si="42"/>
        <v>4.3827923345442742E-2</v>
      </c>
      <c r="AN72" s="80">
        <f t="shared" si="43"/>
        <v>-8.1616586550279341E-2</v>
      </c>
      <c r="AO72">
        <v>51.9</v>
      </c>
      <c r="AP72" s="79">
        <f t="shared" si="44"/>
        <v>1.2524084778420012E-2</v>
      </c>
      <c r="AQ72" s="79">
        <f t="shared" si="45"/>
        <v>8.9857514450866795E-3</v>
      </c>
      <c r="AR72" s="79">
        <f t="shared" si="46"/>
        <v>2.7488107480238392E-2</v>
      </c>
      <c r="AS72" s="80">
        <f t="shared" si="47"/>
        <v>-2.3722380418190973E-2</v>
      </c>
      <c r="AT72" s="178">
        <f t="shared" si="17"/>
        <v>131.15545934069357</v>
      </c>
      <c r="AU72" s="80">
        <f t="shared" si="48"/>
        <v>7.3455075374843637E-2</v>
      </c>
      <c r="AV72">
        <v>50.66</v>
      </c>
      <c r="AW72" s="79">
        <f t="shared" si="49"/>
        <v>1.2238452427951137E-2</v>
      </c>
      <c r="AX72" s="79">
        <f t="shared" si="50"/>
        <v>8.7001190946178041E-3</v>
      </c>
      <c r="AZ72" s="307">
        <f t="shared" si="51"/>
        <v>5.090171875206851E-2</v>
      </c>
    </row>
    <row r="73" spans="2:52">
      <c r="B73" s="267">
        <v>44936</v>
      </c>
      <c r="C73">
        <v>64.63</v>
      </c>
      <c r="D73" s="79">
        <f t="shared" si="18"/>
        <v>0.1027386662540616</v>
      </c>
      <c r="E73" s="80">
        <f t="shared" si="19"/>
        <v>9.920033292072826E-2</v>
      </c>
      <c r="F73">
        <v>133.09</v>
      </c>
      <c r="G73" s="79">
        <f t="shared" si="20"/>
        <v>9.7678262829664131E-2</v>
      </c>
      <c r="H73" s="79">
        <f t="shared" si="21"/>
        <v>9.4139929496330793E-2</v>
      </c>
      <c r="I73" s="79">
        <f t="shared" si="22"/>
        <v>0.11521380058677186</v>
      </c>
      <c r="J73" s="80">
        <f t="shared" si="23"/>
        <v>-3.469471057654977E-2</v>
      </c>
      <c r="K73">
        <v>200.84</v>
      </c>
      <c r="L73" s="79">
        <f t="shared" si="24"/>
        <v>0.19537940649273058</v>
      </c>
      <c r="M73" s="79">
        <f t="shared" si="25"/>
        <v>0.19184107315939725</v>
      </c>
      <c r="N73" s="79">
        <f t="shared" si="26"/>
        <v>0.17716061550514836</v>
      </c>
      <c r="O73" s="80">
        <f t="shared" si="52"/>
        <v>1.0596181681401806E-3</v>
      </c>
      <c r="P73">
        <v>540.16</v>
      </c>
      <c r="Q73" s="79">
        <f t="shared" si="27"/>
        <v>7.2941350710900438E-2</v>
      </c>
      <c r="R73" s="79">
        <f t="shared" si="28"/>
        <v>6.94030173775671E-2</v>
      </c>
      <c r="S73" s="79">
        <f t="shared" si="53"/>
        <v>7.3402643477668117E-2</v>
      </c>
      <c r="T73" s="80">
        <f t="shared" si="54"/>
        <v>-1.4392831263505573E-2</v>
      </c>
      <c r="U73">
        <v>411.69</v>
      </c>
      <c r="V73" s="79">
        <f t="shared" si="29"/>
        <v>0.15127887488158573</v>
      </c>
      <c r="W73" s="79">
        <f t="shared" si="30"/>
        <v>0.14774054154825239</v>
      </c>
      <c r="X73" s="79">
        <f t="shared" si="55"/>
        <v>0.11394335287138839</v>
      </c>
      <c r="Y73" s="80">
        <f t="shared" si="31"/>
        <v>1.3101187305233727E-2</v>
      </c>
      <c r="Z73" s="249">
        <v>2789.56</v>
      </c>
      <c r="AA73" s="79">
        <f t="shared" si="32"/>
        <v>0.1204992902106425</v>
      </c>
      <c r="AB73" s="79">
        <f t="shared" si="33"/>
        <v>0.11696095687730916</v>
      </c>
      <c r="AC73" s="79">
        <f t="shared" si="34"/>
        <v>9.9698487199854122E-2</v>
      </c>
      <c r="AD73" s="80">
        <f t="shared" si="35"/>
        <v>1.113665118040201E-2</v>
      </c>
      <c r="AE73">
        <v>284.69</v>
      </c>
      <c r="AF73" s="79">
        <f t="shared" si="36"/>
        <v>0.10116266816537291</v>
      </c>
      <c r="AG73" s="79">
        <f t="shared" si="37"/>
        <v>9.7624334832039569E-2</v>
      </c>
      <c r="AH73" s="79">
        <f t="shared" si="38"/>
        <v>8.465568126520566E-2</v>
      </c>
      <c r="AI73" s="80">
        <f t="shared" si="39"/>
        <v>9.3172987052272116E-3</v>
      </c>
      <c r="AJ73">
        <v>92.24</v>
      </c>
      <c r="AK73" s="79">
        <f t="shared" si="40"/>
        <v>7.6539462272333075E-2</v>
      </c>
      <c r="AL73" s="79">
        <f t="shared" si="41"/>
        <v>7.3001128938999738E-2</v>
      </c>
      <c r="AM73" s="79">
        <f t="shared" si="42"/>
        <v>7.2946485279124659E-2</v>
      </c>
      <c r="AN73" s="80">
        <f t="shared" si="43"/>
        <v>-1.0637627473785161E-3</v>
      </c>
      <c r="AO73">
        <v>54.47</v>
      </c>
      <c r="AP73" s="79">
        <f t="shared" si="44"/>
        <v>-4.7181935010097306E-2</v>
      </c>
      <c r="AQ73" s="79">
        <f t="shared" si="45"/>
        <v>-5.0720268343430637E-2</v>
      </c>
      <c r="AR73" s="79">
        <f t="shared" si="46"/>
        <v>4.5750760579138967E-2</v>
      </c>
      <c r="AS73" s="80">
        <f t="shared" si="47"/>
        <v>-0.10169105330560888</v>
      </c>
      <c r="AT73" s="178">
        <f t="shared" si="17"/>
        <v>122.18066908379458</v>
      </c>
      <c r="AU73" s="80">
        <f t="shared" si="48"/>
        <v>7.9615623845842351E-2</v>
      </c>
      <c r="AV73">
        <v>49.67</v>
      </c>
      <c r="AW73" s="79">
        <f t="shared" si="49"/>
        <v>1.9931548218240284E-2</v>
      </c>
      <c r="AX73" s="79">
        <f t="shared" si="50"/>
        <v>1.639321488490695E-2</v>
      </c>
      <c r="AZ73" s="307">
        <f t="shared" si="51"/>
        <v>8.2807118035821303E-2</v>
      </c>
    </row>
    <row r="74" spans="2:52">
      <c r="B74" s="267">
        <v>44935</v>
      </c>
      <c r="C74">
        <v>66.95</v>
      </c>
      <c r="D74" s="79">
        <f t="shared" si="18"/>
        <v>-3.4652725914861945E-2</v>
      </c>
      <c r="E74" s="80">
        <f t="shared" si="19"/>
        <v>-3.8191059248195276E-2</v>
      </c>
      <c r="F74">
        <v>127.12</v>
      </c>
      <c r="G74" s="79">
        <f t="shared" si="20"/>
        <v>4.6963499056010057E-2</v>
      </c>
      <c r="H74" s="79">
        <f t="shared" si="21"/>
        <v>4.3425165722676726E-2</v>
      </c>
      <c r="I74" s="79">
        <f t="shared" si="22"/>
        <v>-4.4356071747615432E-2</v>
      </c>
      <c r="J74" s="80">
        <f t="shared" si="23"/>
        <v>7.416039798418346E-2</v>
      </c>
      <c r="K74">
        <v>250.22</v>
      </c>
      <c r="L74" s="79">
        <f t="shared" si="24"/>
        <v>-0.19734633522500197</v>
      </c>
      <c r="M74" s="79">
        <f t="shared" si="25"/>
        <v>-0.20088466855833531</v>
      </c>
      <c r="N74" s="79">
        <f t="shared" si="26"/>
        <v>-6.8204927987596448E-2</v>
      </c>
      <c r="O74" s="80">
        <f t="shared" si="52"/>
        <v>-0.14630058005684757</v>
      </c>
      <c r="P74">
        <v>552.4</v>
      </c>
      <c r="Q74" s="79">
        <f t="shared" si="27"/>
        <v>-2.2157856625633618E-2</v>
      </c>
      <c r="R74" s="79">
        <f t="shared" si="28"/>
        <v>-2.5696189958966952E-2</v>
      </c>
      <c r="S74" s="79">
        <f t="shared" si="53"/>
        <v>-2.825922679382473E-2</v>
      </c>
      <c r="T74" s="80">
        <f t="shared" si="54"/>
        <v>-7.830168328546782E-3</v>
      </c>
      <c r="U74">
        <v>377.6</v>
      </c>
      <c r="V74" s="79">
        <f t="shared" si="29"/>
        <v>9.0280720338982975E-2</v>
      </c>
      <c r="W74" s="79">
        <f t="shared" si="30"/>
        <v>8.6742387005649638E-2</v>
      </c>
      <c r="X74" s="79">
        <f t="shared" si="55"/>
        <v>-4.3866963066813758E-2</v>
      </c>
      <c r="Y74" s="80">
        <f t="shared" si="31"/>
        <v>0.10991334870083312</v>
      </c>
      <c r="Z74" s="249">
        <v>3083.95</v>
      </c>
      <c r="AA74" s="79">
        <f t="shared" si="32"/>
        <v>-9.5458746088620081E-2</v>
      </c>
      <c r="AB74" s="79">
        <f t="shared" si="33"/>
        <v>-9.8997079421953418E-2</v>
      </c>
      <c r="AC74" s="79">
        <f t="shared" si="34"/>
        <v>-3.8382843277831959E-2</v>
      </c>
      <c r="AD74" s="80">
        <f t="shared" si="35"/>
        <v>-6.6740054641174495E-2</v>
      </c>
      <c r="AE74">
        <v>302.16000000000003</v>
      </c>
      <c r="AF74" s="79">
        <f t="shared" si="36"/>
        <v>-5.7817050569234925E-2</v>
      </c>
      <c r="AG74" s="79">
        <f t="shared" si="37"/>
        <v>-6.1355383902568256E-2</v>
      </c>
      <c r="AH74" s="79">
        <f t="shared" si="38"/>
        <v>-3.2591525085700984E-2</v>
      </c>
      <c r="AI74" s="80">
        <f t="shared" si="39"/>
        <v>-3.241521367847397E-2</v>
      </c>
      <c r="AJ74">
        <v>91.27</v>
      </c>
      <c r="AK74" s="79">
        <f t="shared" si="40"/>
        <v>1.0627807603812852E-2</v>
      </c>
      <c r="AL74" s="79">
        <f t="shared" si="41"/>
        <v>7.0894742704795191E-3</v>
      </c>
      <c r="AM74" s="79">
        <f t="shared" si="42"/>
        <v>-2.808361080268643E-2</v>
      </c>
      <c r="AN74" s="80">
        <f t="shared" si="43"/>
        <v>3.4054678665912351E-2</v>
      </c>
      <c r="AO74">
        <v>53.31</v>
      </c>
      <c r="AP74" s="79">
        <f t="shared" si="44"/>
        <v>2.1759519789908019E-2</v>
      </c>
      <c r="AQ74" s="79">
        <f t="shared" si="45"/>
        <v>1.8221186456574685E-2</v>
      </c>
      <c r="AR74" s="79">
        <f t="shared" si="46"/>
        <v>-1.7613549838831184E-2</v>
      </c>
      <c r="AS74" s="80">
        <f t="shared" si="47"/>
        <v>3.0614711912366609E-2</v>
      </c>
      <c r="AT74" s="178">
        <f t="shared" si="17"/>
        <v>113.17052697751686</v>
      </c>
      <c r="AU74" s="80">
        <f t="shared" si="48"/>
        <v>-1.0801568782645625E-2</v>
      </c>
      <c r="AV74">
        <v>49.83</v>
      </c>
      <c r="AW74" s="79">
        <f t="shared" si="49"/>
        <v>-3.2109171182018179E-3</v>
      </c>
      <c r="AX74" s="79">
        <f t="shared" si="50"/>
        <v>-6.7492504515351513E-3</v>
      </c>
      <c r="AZ74" s="307">
        <f t="shared" si="51"/>
        <v>-3.1441808796660128E-2</v>
      </c>
    </row>
    <row r="75" spans="2:52">
      <c r="B75" s="267">
        <v>44934</v>
      </c>
      <c r="C75">
        <v>70.959999999999994</v>
      </c>
      <c r="D75" s="79">
        <f t="shared" si="18"/>
        <v>-5.6510710259300892E-2</v>
      </c>
      <c r="E75" s="80">
        <f t="shared" si="19"/>
        <v>-6.0049043592634223E-2</v>
      </c>
      <c r="F75">
        <v>138.01</v>
      </c>
      <c r="G75" s="79">
        <f t="shared" si="20"/>
        <v>-7.8907325556119026E-2</v>
      </c>
      <c r="H75" s="79">
        <f t="shared" si="21"/>
        <v>-8.2445658889452364E-2</v>
      </c>
      <c r="I75" s="79">
        <f t="shared" si="22"/>
        <v>-6.9742493096638478E-2</v>
      </c>
      <c r="J75" s="80">
        <f t="shared" si="23"/>
        <v>-2.6324005278922591E-2</v>
      </c>
      <c r="K75">
        <v>258.08</v>
      </c>
      <c r="L75" s="79">
        <f t="shared" si="24"/>
        <v>-3.0455672659640366E-2</v>
      </c>
      <c r="M75" s="79">
        <f t="shared" si="25"/>
        <v>-3.3994005992973697E-2</v>
      </c>
      <c r="N75" s="79">
        <f t="shared" si="26"/>
        <v>-0.10724082480517208</v>
      </c>
      <c r="O75" s="80">
        <f t="shared" si="52"/>
        <v>5.9625979326089686E-2</v>
      </c>
      <c r="P75">
        <v>537.07000000000005</v>
      </c>
      <c r="Q75" s="79">
        <f t="shared" si="27"/>
        <v>2.8543765244753806E-2</v>
      </c>
      <c r="R75" s="79">
        <f t="shared" si="28"/>
        <v>2.5005431911420472E-2</v>
      </c>
      <c r="S75" s="79">
        <f t="shared" si="53"/>
        <v>-4.4432900658986231E-2</v>
      </c>
      <c r="T75" s="80">
        <f t="shared" si="54"/>
        <v>5.9045127407002143E-2</v>
      </c>
      <c r="U75">
        <v>433.68</v>
      </c>
      <c r="V75" s="79">
        <f t="shared" si="29"/>
        <v>-0.12931193506733071</v>
      </c>
      <c r="W75" s="79">
        <f t="shared" si="30"/>
        <v>-0.13285026840066405</v>
      </c>
      <c r="X75" s="79">
        <f t="shared" si="55"/>
        <v>-6.8973451622713317E-2</v>
      </c>
      <c r="Y75" s="80">
        <f t="shared" si="31"/>
        <v>-8.4572818149581008E-2</v>
      </c>
      <c r="Z75" s="249">
        <v>3105.03</v>
      </c>
      <c r="AA75" s="79">
        <f t="shared" si="32"/>
        <v>-6.7889843254333709E-3</v>
      </c>
      <c r="AB75" s="79">
        <f t="shared" si="33"/>
        <v>-1.0327317658766703E-2</v>
      </c>
      <c r="AC75" s="79">
        <f t="shared" si="34"/>
        <v>-6.0350591855047722E-2</v>
      </c>
      <c r="AD75" s="80">
        <f t="shared" si="35"/>
        <v>4.3897455699227983E-2</v>
      </c>
      <c r="AE75">
        <v>330.3</v>
      </c>
      <c r="AF75" s="79">
        <f t="shared" si="36"/>
        <v>-8.5195277020890053E-2</v>
      </c>
      <c r="AG75" s="79">
        <f t="shared" si="37"/>
        <v>-8.8733610354223391E-2</v>
      </c>
      <c r="AH75" s="79">
        <f t="shared" si="38"/>
        <v>-5.1244714054747578E-2</v>
      </c>
      <c r="AI75" s="80">
        <f t="shared" si="39"/>
        <v>-4.1140251161082511E-2</v>
      </c>
      <c r="AJ75">
        <v>97.44</v>
      </c>
      <c r="AK75" s="79">
        <f t="shared" si="40"/>
        <v>-6.3321018062397386E-2</v>
      </c>
      <c r="AL75" s="79">
        <f t="shared" si="41"/>
        <v>-6.6859351395730723E-2</v>
      </c>
      <c r="AM75" s="79">
        <f t="shared" si="42"/>
        <v>-4.4156773928934204E-2</v>
      </c>
      <c r="AN75" s="80">
        <f t="shared" si="43"/>
        <v>-2.3820983874050114E-2</v>
      </c>
      <c r="AO75">
        <v>54.2</v>
      </c>
      <c r="AP75" s="79">
        <f t="shared" si="44"/>
        <v>-1.6420664206642076E-2</v>
      </c>
      <c r="AQ75" s="79">
        <f t="shared" si="45"/>
        <v>-1.9958997539975411E-2</v>
      </c>
      <c r="AR75" s="79">
        <f t="shared" si="46"/>
        <v>-2.7694356818421841E-2</v>
      </c>
      <c r="AS75" s="80">
        <f t="shared" si="47"/>
        <v>2.5153348954071696E-3</v>
      </c>
      <c r="AT75" s="178">
        <f t="shared" si="17"/>
        <v>114.4062944360353</v>
      </c>
      <c r="AU75" s="80">
        <f t="shared" si="48"/>
        <v>-4.7394886338159657E-2</v>
      </c>
      <c r="AV75">
        <v>50.24</v>
      </c>
      <c r="AW75" s="79">
        <f t="shared" si="49"/>
        <v>-8.1608280254777798E-3</v>
      </c>
      <c r="AX75" s="79">
        <f t="shared" si="50"/>
        <v>-1.1699161358811112E-2</v>
      </c>
      <c r="AZ75" s="307">
        <f t="shared" si="51"/>
        <v>-4.834988223382311E-2</v>
      </c>
    </row>
    <row r="76" spans="2:52">
      <c r="B76" s="267">
        <v>44933</v>
      </c>
      <c r="C76">
        <v>73.040000000000006</v>
      </c>
      <c r="D76" s="79">
        <f t="shared" si="18"/>
        <v>-2.8477546549835874E-2</v>
      </c>
      <c r="E76" s="80">
        <f t="shared" si="19"/>
        <v>-3.2015879883169208E-2</v>
      </c>
      <c r="F76">
        <v>133.68</v>
      </c>
      <c r="G76" s="79">
        <f t="shared" si="20"/>
        <v>3.2390783961699463E-2</v>
      </c>
      <c r="H76" s="79">
        <f t="shared" si="21"/>
        <v>2.8852450628366128E-2</v>
      </c>
      <c r="I76" s="79">
        <f t="shared" si="22"/>
        <v>-3.7184060696823902E-2</v>
      </c>
      <c r="J76" s="80">
        <f t="shared" si="23"/>
        <v>5.2415671839081329E-2</v>
      </c>
      <c r="K76">
        <v>267.43</v>
      </c>
      <c r="L76" s="79">
        <f t="shared" si="24"/>
        <v>-3.4962420072542431E-2</v>
      </c>
      <c r="M76" s="79">
        <f t="shared" si="25"/>
        <v>-3.8500753405875762E-2</v>
      </c>
      <c r="N76" s="79">
        <f t="shared" si="26"/>
        <v>-5.7176753535430724E-2</v>
      </c>
      <c r="O76" s="80">
        <f t="shared" si="52"/>
        <v>5.0551606434462645E-3</v>
      </c>
      <c r="P76">
        <v>548.20000000000005</v>
      </c>
      <c r="Q76" s="79">
        <f t="shared" si="27"/>
        <v>-2.0302809193724909E-2</v>
      </c>
      <c r="R76" s="79">
        <f t="shared" si="28"/>
        <v>-2.3841142527058243E-2</v>
      </c>
      <c r="S76" s="79">
        <f t="shared" si="53"/>
        <v>-2.3689942840877953E-2</v>
      </c>
      <c r="T76" s="80">
        <f t="shared" si="54"/>
        <v>-1.0544404849584851E-2</v>
      </c>
      <c r="U76">
        <v>438.97</v>
      </c>
      <c r="V76" s="79">
        <f t="shared" si="29"/>
        <v>-1.2050937421691733E-2</v>
      </c>
      <c r="W76" s="79">
        <f t="shared" si="30"/>
        <v>-1.5589270755025066E-2</v>
      </c>
      <c r="X76" s="79">
        <f t="shared" si="55"/>
        <v>-3.6774036856620992E-2</v>
      </c>
      <c r="Y76" s="80">
        <f t="shared" si="31"/>
        <v>4.8876472996564613E-4</v>
      </c>
      <c r="Z76" s="249">
        <v>2970.8</v>
      </c>
      <c r="AA76" s="79">
        <f t="shared" si="32"/>
        <v>4.518311565908173E-2</v>
      </c>
      <c r="AB76" s="79">
        <f t="shared" si="33"/>
        <v>4.1644782325748399E-2</v>
      </c>
      <c r="AC76" s="79">
        <f t="shared" si="34"/>
        <v>-3.2176654016624236E-2</v>
      </c>
      <c r="AD76" s="80">
        <f t="shared" si="35"/>
        <v>6.7695617845319606E-2</v>
      </c>
      <c r="AE76">
        <v>333.84</v>
      </c>
      <c r="AF76" s="79">
        <f t="shared" si="36"/>
        <v>-1.0603882099209094E-2</v>
      </c>
      <c r="AG76" s="79">
        <f t="shared" si="37"/>
        <v>-1.4142215432542427E-2</v>
      </c>
      <c r="AH76" s="79">
        <f t="shared" si="38"/>
        <v>-2.7321744222174378E-2</v>
      </c>
      <c r="AI76" s="80">
        <f t="shared" si="39"/>
        <v>9.5281739280252582E-3</v>
      </c>
      <c r="AJ76">
        <v>101.57</v>
      </c>
      <c r="AK76" s="79">
        <f t="shared" si="40"/>
        <v>-4.0661612680909676E-2</v>
      </c>
      <c r="AL76" s="79">
        <f t="shared" si="41"/>
        <v>-4.4199946014243006E-2</v>
      </c>
      <c r="AM76" s="79">
        <f t="shared" si="42"/>
        <v>-2.3542722507414349E-2</v>
      </c>
      <c r="AN76" s="80">
        <f t="shared" si="43"/>
        <v>-2.1775629914082259E-2</v>
      </c>
      <c r="AO76">
        <v>53.29</v>
      </c>
      <c r="AP76" s="79">
        <f t="shared" si="44"/>
        <v>1.7076374554325459E-2</v>
      </c>
      <c r="AQ76" s="79">
        <f t="shared" si="45"/>
        <v>1.3538041220992126E-2</v>
      </c>
      <c r="AR76" s="79">
        <f t="shared" si="46"/>
        <v>-1.4765584067503479E-2</v>
      </c>
      <c r="AS76" s="80">
        <f t="shared" si="47"/>
        <v>2.3083600905456345E-2</v>
      </c>
      <c r="AT76" s="178">
        <f t="shared" si="17"/>
        <v>120.09834168982607</v>
      </c>
      <c r="AU76" s="80">
        <f t="shared" si="48"/>
        <v>2.7288216691199515E-3</v>
      </c>
      <c r="AV76">
        <v>50.31</v>
      </c>
      <c r="AW76" s="79">
        <f t="shared" si="49"/>
        <v>-1.3913734843967458E-3</v>
      </c>
      <c r="AX76" s="79">
        <f t="shared" si="50"/>
        <v>-4.9297068177300788E-3</v>
      </c>
      <c r="AZ76" s="307">
        <f t="shared" si="51"/>
        <v>-2.7086173065439131E-2</v>
      </c>
    </row>
    <row r="77" spans="2:52">
      <c r="B77" s="267">
        <v>44932</v>
      </c>
      <c r="C77">
        <v>71.17</v>
      </c>
      <c r="D77" s="79">
        <f t="shared" si="18"/>
        <v>2.6275115919629121E-2</v>
      </c>
      <c r="E77" s="80">
        <f t="shared" si="19"/>
        <v>2.2736782586295787E-2</v>
      </c>
      <c r="F77">
        <v>130.36000000000001</v>
      </c>
      <c r="G77" s="79">
        <f t="shared" si="20"/>
        <v>2.5467934949370916E-2</v>
      </c>
      <c r="H77" s="79">
        <f t="shared" si="21"/>
        <v>2.1929601616037582E-2</v>
      </c>
      <c r="I77" s="79">
        <f t="shared" si="22"/>
        <v>2.6407080074777621E-2</v>
      </c>
      <c r="J77" s="80">
        <f t="shared" si="23"/>
        <v>-1.8098317944848737E-2</v>
      </c>
      <c r="K77">
        <v>261.77</v>
      </c>
      <c r="L77" s="79">
        <f t="shared" si="24"/>
        <v>2.1622034610536064E-2</v>
      </c>
      <c r="M77" s="79">
        <f t="shared" si="25"/>
        <v>1.808370127720273E-2</v>
      </c>
      <c r="N77" s="79">
        <f t="shared" si="26"/>
        <v>4.0605331443935334E-2</v>
      </c>
      <c r="O77" s="80">
        <f t="shared" si="52"/>
        <v>-3.6142469652841305E-2</v>
      </c>
      <c r="P77">
        <v>526.41</v>
      </c>
      <c r="Q77" s="79">
        <f t="shared" si="27"/>
        <v>4.1393590547292185E-2</v>
      </c>
      <c r="R77" s="79">
        <f t="shared" si="28"/>
        <v>3.7855257213958854E-2</v>
      </c>
      <c r="S77" s="79">
        <f t="shared" si="53"/>
        <v>1.6823934929177959E-2</v>
      </c>
      <c r="T77" s="80">
        <f t="shared" si="54"/>
        <v>1.0638117121376335E-2</v>
      </c>
      <c r="U77">
        <v>440.49</v>
      </c>
      <c r="V77" s="79">
        <f t="shared" si="29"/>
        <v>-3.4507026266203133E-3</v>
      </c>
      <c r="W77" s="79">
        <f t="shared" si="30"/>
        <v>-6.9890359599536463E-3</v>
      </c>
      <c r="X77" s="79">
        <f t="shared" si="55"/>
        <v>2.6115892609560008E-2</v>
      </c>
      <c r="Y77" s="80">
        <f t="shared" si="31"/>
        <v>-5.3800929941143931E-2</v>
      </c>
      <c r="Z77" s="249">
        <v>2700.33</v>
      </c>
      <c r="AA77" s="79">
        <f t="shared" si="32"/>
        <v>0.10016183207237643</v>
      </c>
      <c r="AB77" s="79">
        <f t="shared" si="33"/>
        <v>9.6623498739043093E-2</v>
      </c>
      <c r="AC77" s="79">
        <f t="shared" si="34"/>
        <v>2.2850959879914031E-2</v>
      </c>
      <c r="AD77" s="80">
        <f t="shared" si="35"/>
        <v>6.7646720362076029E-2</v>
      </c>
      <c r="AE77">
        <v>310.64</v>
      </c>
      <c r="AF77" s="79">
        <f t="shared" si="36"/>
        <v>7.4684522276590226E-2</v>
      </c>
      <c r="AG77" s="79">
        <f t="shared" si="37"/>
        <v>7.1146188943256888E-2</v>
      </c>
      <c r="AH77" s="79">
        <f t="shared" si="38"/>
        <v>1.9403138708817186E-2</v>
      </c>
      <c r="AI77" s="80">
        <f t="shared" si="39"/>
        <v>4.8091695372833004E-2</v>
      </c>
      <c r="AJ77">
        <v>99.06</v>
      </c>
      <c r="AK77" s="79">
        <f t="shared" si="40"/>
        <v>2.5338178881485877E-2</v>
      </c>
      <c r="AL77" s="79">
        <f t="shared" si="41"/>
        <v>2.1799845548152542E-2</v>
      </c>
      <c r="AM77" s="79">
        <f t="shared" si="42"/>
        <v>1.671938316528895E-2</v>
      </c>
      <c r="AN77" s="80">
        <f t="shared" si="43"/>
        <v>3.9620559756099946E-3</v>
      </c>
      <c r="AO77">
        <v>52.39</v>
      </c>
      <c r="AP77" s="79">
        <f t="shared" si="44"/>
        <v>1.717885092574916E-2</v>
      </c>
      <c r="AQ77" s="79">
        <f t="shared" si="45"/>
        <v>1.3640517592415828E-2</v>
      </c>
      <c r="AR77" s="79">
        <f t="shared" si="46"/>
        <v>1.0486104893184243E-2</v>
      </c>
      <c r="AS77" s="80">
        <f t="shared" si="47"/>
        <v>-2.0656116838076773E-3</v>
      </c>
      <c r="AT77" s="178">
        <f t="shared" si="17"/>
        <v>119.77150660725306</v>
      </c>
      <c r="AU77" s="80">
        <f t="shared" si="48"/>
        <v>3.8455092942082804E-2</v>
      </c>
      <c r="AV77">
        <v>50.17</v>
      </c>
      <c r="AW77" s="79">
        <f t="shared" si="49"/>
        <v>2.7905122583217175E-3</v>
      </c>
      <c r="AX77" s="79">
        <f t="shared" si="50"/>
        <v>-7.4782107501161548E-4</v>
      </c>
      <c r="AZ77" s="307">
        <f t="shared" si="51"/>
        <v>2.3484603661307401E-2</v>
      </c>
    </row>
    <row r="78" spans="2:52">
      <c r="B78" s="267">
        <v>44931</v>
      </c>
      <c r="C78">
        <v>64.56</v>
      </c>
      <c r="D78" s="79">
        <f t="shared" si="18"/>
        <v>0.10238537794299875</v>
      </c>
      <c r="E78" s="80">
        <f t="shared" si="19"/>
        <v>9.884704460966541E-2</v>
      </c>
      <c r="F78">
        <v>120.58</v>
      </c>
      <c r="G78" s="79">
        <f t="shared" si="20"/>
        <v>8.1107978105821987E-2</v>
      </c>
      <c r="H78" s="79">
        <f t="shared" si="21"/>
        <v>7.756964477248865E-2</v>
      </c>
      <c r="I78" s="79">
        <f t="shared" si="22"/>
        <v>0.11480348251805167</v>
      </c>
      <c r="J78" s="80">
        <f t="shared" si="23"/>
        <v>-5.0854677231671724E-2</v>
      </c>
      <c r="K78">
        <v>203.93</v>
      </c>
      <c r="L78" s="79">
        <f t="shared" si="24"/>
        <v>0.28362673466385513</v>
      </c>
      <c r="M78" s="79">
        <f t="shared" si="25"/>
        <v>0.28008840133052182</v>
      </c>
      <c r="N78" s="79">
        <f t="shared" si="26"/>
        <v>0.17652968239438266</v>
      </c>
      <c r="O78" s="80">
        <f t="shared" si="52"/>
        <v>8.9937879450030456E-2</v>
      </c>
      <c r="P78">
        <v>500.18</v>
      </c>
      <c r="Q78" s="79">
        <f t="shared" si="27"/>
        <v>5.2441121196369227E-2</v>
      </c>
      <c r="R78" s="79">
        <f t="shared" si="28"/>
        <v>4.8902787863035896E-2</v>
      </c>
      <c r="S78" s="79">
        <f t="shared" si="53"/>
        <v>7.3141230081379446E-2</v>
      </c>
      <c r="T78" s="80">
        <f t="shared" si="54"/>
        <v>-3.4631647381748107E-2</v>
      </c>
      <c r="U78">
        <v>395.23</v>
      </c>
      <c r="V78" s="79">
        <f t="shared" si="29"/>
        <v>0.11451559851225866</v>
      </c>
      <c r="W78" s="79">
        <f t="shared" si="30"/>
        <v>0.11097726517892532</v>
      </c>
      <c r="X78" s="79">
        <f t="shared" si="55"/>
        <v>0.11353755932707701</v>
      </c>
      <c r="Y78" s="80">
        <f t="shared" si="31"/>
        <v>-2.3256295519781964E-2</v>
      </c>
      <c r="Z78" s="249">
        <v>2508.77</v>
      </c>
      <c r="AA78" s="79">
        <f t="shared" si="32"/>
        <v>7.6356142651578238E-2</v>
      </c>
      <c r="AB78" s="79">
        <f t="shared" si="33"/>
        <v>7.28178093182449E-2</v>
      </c>
      <c r="AC78" s="79">
        <f t="shared" si="34"/>
        <v>9.9343424780996073E-2</v>
      </c>
      <c r="AD78" s="80">
        <f t="shared" si="35"/>
        <v>-3.2651433959804202E-2</v>
      </c>
      <c r="AE78">
        <v>283.45</v>
      </c>
      <c r="AF78" s="79">
        <f t="shared" si="36"/>
        <v>9.5925207267595694E-2</v>
      </c>
      <c r="AG78" s="79">
        <f t="shared" si="37"/>
        <v>9.2386873934262356E-2</v>
      </c>
      <c r="AH78" s="79">
        <f t="shared" si="38"/>
        <v>8.4354191726053004E-2</v>
      </c>
      <c r="AI78" s="80">
        <f t="shared" si="39"/>
        <v>4.3813273466026537E-3</v>
      </c>
      <c r="AJ78">
        <v>97.64</v>
      </c>
      <c r="AK78" s="79">
        <f t="shared" si="40"/>
        <v>1.4543219991806654E-2</v>
      </c>
      <c r="AL78" s="79">
        <f t="shared" si="41"/>
        <v>1.1004886658473321E-2</v>
      </c>
      <c r="AM78" s="79">
        <f t="shared" si="42"/>
        <v>7.2686696427379308E-2</v>
      </c>
      <c r="AN78" s="80">
        <f t="shared" si="43"/>
        <v>-6.2800216176159579E-2</v>
      </c>
      <c r="AO78">
        <v>48.96</v>
      </c>
      <c r="AP78" s="79">
        <f t="shared" si="44"/>
        <v>7.0057189542483647E-2</v>
      </c>
      <c r="AQ78" s="79">
        <f t="shared" si="45"/>
        <v>6.6518856209150309E-2</v>
      </c>
      <c r="AR78" s="79">
        <f t="shared" si="46"/>
        <v>4.5587825552018027E-2</v>
      </c>
      <c r="AS78" s="80">
        <f t="shared" si="47"/>
        <v>1.5711006274093019E-2</v>
      </c>
      <c r="AT78" s="178">
        <f t="shared" si="17"/>
        <v>115.33624074963539</v>
      </c>
      <c r="AU78" s="80">
        <f t="shared" si="48"/>
        <v>7.8359473161995888E-2</v>
      </c>
      <c r="AV78">
        <v>50.34</v>
      </c>
      <c r="AW78" s="79">
        <f t="shared" si="49"/>
        <v>-3.3770361541518015E-3</v>
      </c>
      <c r="AX78" s="79">
        <f t="shared" si="50"/>
        <v>-6.9153694874851349E-3</v>
      </c>
      <c r="AZ78" s="307">
        <f t="shared" si="51"/>
        <v>0.10576241409715055</v>
      </c>
    </row>
    <row r="79" spans="2:52">
      <c r="B79" s="267">
        <v>44930</v>
      </c>
      <c r="C79">
        <v>64.400000000000006</v>
      </c>
      <c r="D79" s="79">
        <f t="shared" si="18"/>
        <v>2.4844720496893877E-3</v>
      </c>
      <c r="E79" s="80">
        <f t="shared" si="19"/>
        <v>-1.0538612836439453E-3</v>
      </c>
      <c r="F79">
        <v>105.45</v>
      </c>
      <c r="G79" s="79">
        <f t="shared" si="20"/>
        <v>0.14348032242769079</v>
      </c>
      <c r="H79" s="79">
        <f t="shared" si="21"/>
        <v>0.13994198909435746</v>
      </c>
      <c r="I79" s="79">
        <f t="shared" si="22"/>
        <v>-1.2239814142246887E-3</v>
      </c>
      <c r="J79" s="80">
        <f t="shared" si="23"/>
        <v>0.12754513102247345</v>
      </c>
      <c r="K79">
        <v>164.31</v>
      </c>
      <c r="L79" s="79">
        <f t="shared" si="24"/>
        <v>0.24112957215020392</v>
      </c>
      <c r="M79" s="79">
        <f t="shared" si="25"/>
        <v>0.23759123881687058</v>
      </c>
      <c r="N79" s="79">
        <f t="shared" si="26"/>
        <v>-1.8820774907741754E-3</v>
      </c>
      <c r="O79" s="80">
        <f t="shared" si="52"/>
        <v>0.22585247682153606</v>
      </c>
      <c r="P79">
        <v>492.03</v>
      </c>
      <c r="Q79" s="79">
        <f t="shared" si="27"/>
        <v>1.6564030648537762E-2</v>
      </c>
      <c r="R79" s="79">
        <f t="shared" si="28"/>
        <v>1.302569731520443E-2</v>
      </c>
      <c r="S79" s="79">
        <f t="shared" si="53"/>
        <v>-7.7979782729207278E-4</v>
      </c>
      <c r="T79" s="80">
        <f t="shared" si="54"/>
        <v>3.4122899790919427E-3</v>
      </c>
      <c r="U79">
        <v>329.93</v>
      </c>
      <c r="V79" s="79">
        <f t="shared" si="29"/>
        <v>0.1979207710726518</v>
      </c>
      <c r="W79" s="79">
        <f t="shared" si="30"/>
        <v>0.19438243773931846</v>
      </c>
      <c r="X79" s="79">
        <f t="shared" si="55"/>
        <v>-1.2104847290753914E-3</v>
      </c>
      <c r="Y79" s="80">
        <f t="shared" si="31"/>
        <v>0.17489692109676358</v>
      </c>
      <c r="Z79" s="249">
        <v>2686.31</v>
      </c>
      <c r="AA79" s="79">
        <f t="shared" si="32"/>
        <v>-6.6090659678145841E-2</v>
      </c>
      <c r="AB79" s="79">
        <f t="shared" si="33"/>
        <v>-6.9628993011479179E-2</v>
      </c>
      <c r="AC79" s="79">
        <f t="shared" si="34"/>
        <v>-1.0591534585046066E-3</v>
      </c>
      <c r="AD79" s="80">
        <f t="shared" si="35"/>
        <v>-7.4695658050027605E-2</v>
      </c>
      <c r="AE79">
        <v>300.54000000000002</v>
      </c>
      <c r="AF79" s="79">
        <f t="shared" si="36"/>
        <v>-5.6864310907034109E-2</v>
      </c>
      <c r="AG79" s="79">
        <f t="shared" si="37"/>
        <v>-6.040264424036744E-2</v>
      </c>
      <c r="AH79" s="79">
        <f t="shared" si="38"/>
        <v>-8.9934521688747734E-4</v>
      </c>
      <c r="AI79" s="80">
        <f t="shared" si="39"/>
        <v>-6.3154653885086662E-2</v>
      </c>
      <c r="AJ79">
        <v>114.29</v>
      </c>
      <c r="AK79" s="79">
        <f t="shared" si="40"/>
        <v>-0.14568203692361539</v>
      </c>
      <c r="AL79" s="79">
        <f t="shared" si="41"/>
        <v>-0.14922037025694873</v>
      </c>
      <c r="AM79" s="79">
        <f t="shared" si="42"/>
        <v>-7.7495180056506711E-4</v>
      </c>
      <c r="AN79" s="80">
        <f t="shared" si="43"/>
        <v>-0.14956382486363728</v>
      </c>
      <c r="AO79">
        <v>50.32</v>
      </c>
      <c r="AP79" s="79">
        <f t="shared" si="44"/>
        <v>-2.7027027027027015E-2</v>
      </c>
      <c r="AQ79" s="79">
        <f t="shared" si="45"/>
        <v>-3.0565360360360349E-2</v>
      </c>
      <c r="AR79" s="79">
        <f t="shared" si="46"/>
        <v>-4.8603622439601221E-4</v>
      </c>
      <c r="AS79" s="80">
        <f t="shared" si="47"/>
        <v>-3.5299348519003598E-2</v>
      </c>
      <c r="AT79" s="178">
        <f t="shared" si="17"/>
        <v>106.95528125833887</v>
      </c>
      <c r="AU79" s="80">
        <f t="shared" si="48"/>
        <v>3.3386502811256782E-2</v>
      </c>
      <c r="AV79">
        <v>50.71</v>
      </c>
      <c r="AW79" s="79">
        <f t="shared" si="49"/>
        <v>-7.2963912443304562E-3</v>
      </c>
      <c r="AX79" s="79">
        <f t="shared" si="50"/>
        <v>-1.0834724577663789E-2</v>
      </c>
      <c r="AZ79" s="307">
        <f t="shared" si="51"/>
        <v>9.7808632940198439E-3</v>
      </c>
    </row>
    <row r="80" spans="2:52">
      <c r="B80" s="267">
        <v>44929</v>
      </c>
      <c r="C80">
        <v>64.69</v>
      </c>
      <c r="D80" s="79">
        <f t="shared" si="18"/>
        <v>-4.4829185345492666E-3</v>
      </c>
      <c r="E80" s="80">
        <f t="shared" si="19"/>
        <v>-8.0212518678825992E-3</v>
      </c>
      <c r="F80">
        <v>103.29</v>
      </c>
      <c r="G80" s="79">
        <f t="shared" si="20"/>
        <v>2.0911995352889887E-2</v>
      </c>
      <c r="H80" s="79">
        <f t="shared" si="21"/>
        <v>1.7373662019556552E-2</v>
      </c>
      <c r="I80" s="79">
        <f t="shared" si="22"/>
        <v>-9.3160868109283413E-3</v>
      </c>
      <c r="J80" s="80">
        <f t="shared" si="23"/>
        <v>1.3068909344376194E-2</v>
      </c>
      <c r="K80">
        <v>207.46</v>
      </c>
      <c r="L80" s="79">
        <f t="shared" si="24"/>
        <v>-0.2079919020534079</v>
      </c>
      <c r="M80" s="79">
        <f t="shared" si="25"/>
        <v>-0.21153023538674123</v>
      </c>
      <c r="N80" s="79">
        <f t="shared" si="26"/>
        <v>-1.4325051904528123E-2</v>
      </c>
      <c r="O80" s="80">
        <f t="shared" si="52"/>
        <v>-0.21082602296832181</v>
      </c>
      <c r="P80">
        <v>485.82</v>
      </c>
      <c r="Q80" s="79">
        <f t="shared" si="27"/>
        <v>1.2782512041496809E-2</v>
      </c>
      <c r="R80" s="79">
        <f t="shared" si="28"/>
        <v>9.2441787081634762E-3</v>
      </c>
      <c r="S80" s="79">
        <f t="shared" si="53"/>
        <v>-5.9352733379762473E-3</v>
      </c>
      <c r="T80" s="80">
        <f t="shared" si="54"/>
        <v>4.7862468827351637E-3</v>
      </c>
      <c r="U80">
        <v>345.48</v>
      </c>
      <c r="V80" s="79">
        <f t="shared" si="29"/>
        <v>-4.5009841380108863E-2</v>
      </c>
      <c r="W80" s="79">
        <f t="shared" si="30"/>
        <v>-4.8548174713442194E-2</v>
      </c>
      <c r="X80" s="79">
        <f t="shared" si="55"/>
        <v>-9.2133595235289103E-3</v>
      </c>
      <c r="Y80" s="80">
        <f t="shared" si="31"/>
        <v>-6.0030816561543555E-2</v>
      </c>
      <c r="Z80" s="249">
        <v>2652.41</v>
      </c>
      <c r="AA80" s="79">
        <f t="shared" si="32"/>
        <v>1.2780829509766625E-2</v>
      </c>
      <c r="AB80" s="79">
        <f t="shared" si="33"/>
        <v>9.2424961764332927E-3</v>
      </c>
      <c r="AC80" s="79">
        <f t="shared" si="34"/>
        <v>-8.0615321857432781E-3</v>
      </c>
      <c r="AD80" s="80">
        <f t="shared" si="35"/>
        <v>1.117820986512354E-2</v>
      </c>
      <c r="AE80">
        <v>295.12</v>
      </c>
      <c r="AF80" s="79">
        <f t="shared" si="36"/>
        <v>1.8365410680401248E-2</v>
      </c>
      <c r="AG80" s="79">
        <f t="shared" si="37"/>
        <v>1.4827077347067915E-2</v>
      </c>
      <c r="AH80" s="79">
        <f t="shared" si="38"/>
        <v>-6.8451840985053391E-3</v>
      </c>
      <c r="AI80" s="80">
        <f t="shared" si="39"/>
        <v>1.8020906583966562E-2</v>
      </c>
      <c r="AJ80">
        <v>104.13</v>
      </c>
      <c r="AK80" s="79">
        <f t="shared" si="40"/>
        <v>9.7570344761356106E-2</v>
      </c>
      <c r="AL80" s="79">
        <f t="shared" si="41"/>
        <v>9.4032011428022769E-2</v>
      </c>
      <c r="AM80" s="79">
        <f t="shared" si="42"/>
        <v>-5.8983887863382949E-3</v>
      </c>
      <c r="AN80" s="80">
        <f t="shared" si="43"/>
        <v>9.8811993807107465E-2</v>
      </c>
      <c r="AO80">
        <v>49.15</v>
      </c>
      <c r="AP80" s="79">
        <f t="shared" si="44"/>
        <v>2.3804679552390677E-2</v>
      </c>
      <c r="AQ80" s="79">
        <f t="shared" si="45"/>
        <v>2.0266346219057343E-2</v>
      </c>
      <c r="AR80" s="79">
        <f t="shared" si="46"/>
        <v>-3.69936635238637E-3</v>
      </c>
      <c r="AS80" s="80">
        <f t="shared" si="47"/>
        <v>1.8745688188404452E-2</v>
      </c>
      <c r="AT80" s="178">
        <f t="shared" si="17"/>
        <v>103.49978538269505</v>
      </c>
      <c r="AU80" s="80">
        <f t="shared" si="48"/>
        <v>4.5607131481604814E-3</v>
      </c>
      <c r="AV80">
        <v>50.54</v>
      </c>
      <c r="AW80" s="79">
        <f t="shared" si="49"/>
        <v>3.3636723387416244E-3</v>
      </c>
      <c r="AX80" s="79">
        <f t="shared" si="50"/>
        <v>-1.7466099459170856E-4</v>
      </c>
      <c r="AZ80" s="307">
        <f t="shared" si="51"/>
        <v>-7.8465908732908915E-3</v>
      </c>
    </row>
    <row r="81" spans="2:52">
      <c r="B81" s="267">
        <v>44928</v>
      </c>
      <c r="C81">
        <v>63.31</v>
      </c>
      <c r="D81" s="79">
        <f t="shared" si="18"/>
        <v>2.1797504343705504E-2</v>
      </c>
      <c r="E81" s="80">
        <f t="shared" si="19"/>
        <v>1.825917101037217E-2</v>
      </c>
      <c r="F81">
        <v>94.23</v>
      </c>
      <c r="G81" s="79">
        <f t="shared" si="20"/>
        <v>9.6147723654886996E-2</v>
      </c>
      <c r="H81" s="79">
        <f t="shared" si="21"/>
        <v>9.2609390321553658E-2</v>
      </c>
      <c r="I81" s="79">
        <f t="shared" si="22"/>
        <v>2.1206667616225382E-2</v>
      </c>
      <c r="J81" s="80">
        <f t="shared" si="23"/>
        <v>5.7781883219219572E-2</v>
      </c>
      <c r="K81">
        <v>205.71</v>
      </c>
      <c r="L81" s="79">
        <f t="shared" si="24"/>
        <v>8.507121676146031E-3</v>
      </c>
      <c r="M81" s="79">
        <f t="shared" si="25"/>
        <v>4.9687883428126984E-3</v>
      </c>
      <c r="N81" s="79">
        <f t="shared" si="26"/>
        <v>3.2608821760671439E-2</v>
      </c>
      <c r="O81" s="80">
        <f t="shared" si="52"/>
        <v>-4.126087290396744E-2</v>
      </c>
      <c r="P81">
        <v>473.41</v>
      </c>
      <c r="Q81" s="79">
        <f t="shared" si="27"/>
        <v>2.6214063919224283E-2</v>
      </c>
      <c r="R81" s="79">
        <f t="shared" si="28"/>
        <v>2.2675730585890948E-2</v>
      </c>
      <c r="S81" s="79">
        <f t="shared" si="53"/>
        <v>1.3510755260702023E-2</v>
      </c>
      <c r="T81" s="80">
        <f t="shared" si="54"/>
        <v>-1.2282298382156349E-3</v>
      </c>
      <c r="U81">
        <v>322.13</v>
      </c>
      <c r="V81" s="79">
        <f t="shared" si="29"/>
        <v>7.2486263309843924E-2</v>
      </c>
      <c r="W81" s="79">
        <f t="shared" si="30"/>
        <v>6.8947929976510586E-2</v>
      </c>
      <c r="X81" s="79">
        <f t="shared" si="55"/>
        <v>2.0972824428285072E-2</v>
      </c>
      <c r="Y81" s="80">
        <f t="shared" si="31"/>
        <v>2.727910417659524E-2</v>
      </c>
      <c r="Z81" s="249">
        <v>2524</v>
      </c>
      <c r="AA81" s="79">
        <f t="shared" si="32"/>
        <v>5.0875594294770149E-2</v>
      </c>
      <c r="AB81" s="79">
        <f t="shared" si="33"/>
        <v>4.7337260961436818E-2</v>
      </c>
      <c r="AC81" s="79">
        <f t="shared" si="34"/>
        <v>1.8350863083415679E-2</v>
      </c>
      <c r="AD81" s="80">
        <f t="shared" si="35"/>
        <v>2.286057938096811E-2</v>
      </c>
      <c r="AE81">
        <v>296.54000000000002</v>
      </c>
      <c r="AF81" s="79">
        <f t="shared" si="36"/>
        <v>-4.7885614082417748E-3</v>
      </c>
      <c r="AG81" s="79">
        <f t="shared" si="37"/>
        <v>-8.3268947415751082E-3</v>
      </c>
      <c r="AH81" s="79">
        <f t="shared" si="38"/>
        <v>1.5582029976211512E-2</v>
      </c>
      <c r="AI81" s="80">
        <f t="shared" si="39"/>
        <v>-2.7560279579393311E-2</v>
      </c>
      <c r="AJ81">
        <v>102.09</v>
      </c>
      <c r="AK81" s="79">
        <f t="shared" si="40"/>
        <v>1.9982368498383699E-2</v>
      </c>
      <c r="AL81" s="79">
        <f t="shared" si="41"/>
        <v>1.6444035165050365E-2</v>
      </c>
      <c r="AM81" s="79">
        <f t="shared" si="42"/>
        <v>1.34267931376954E-2</v>
      </c>
      <c r="AN81" s="80">
        <f t="shared" si="43"/>
        <v>1.8988356201013676E-3</v>
      </c>
      <c r="AO81">
        <v>47.38</v>
      </c>
      <c r="AP81" s="79">
        <f t="shared" si="44"/>
        <v>3.7357534824820515E-2</v>
      </c>
      <c r="AQ81" s="79">
        <f t="shared" si="45"/>
        <v>3.3819201491487184E-2</v>
      </c>
      <c r="AR81" s="79">
        <f t="shared" si="46"/>
        <v>8.4210499770867031E-3</v>
      </c>
      <c r="AS81" s="80">
        <f t="shared" si="47"/>
        <v>2.0178127131361221E-2</v>
      </c>
      <c r="AT81" s="178">
        <f t="shared" si="17"/>
        <v>103.02989558325491</v>
      </c>
      <c r="AU81" s="80">
        <f t="shared" si="48"/>
        <v>4.179164051702506E-2</v>
      </c>
      <c r="AV81">
        <v>49.92</v>
      </c>
      <c r="AW81" s="79">
        <f t="shared" si="49"/>
        <v>1.2419871794871744E-2</v>
      </c>
      <c r="AX81" s="79">
        <f t="shared" si="50"/>
        <v>8.8815384615384112E-3</v>
      </c>
      <c r="AZ81" s="307">
        <f t="shared" si="51"/>
        <v>9.3776325488337583E-3</v>
      </c>
    </row>
    <row r="82" spans="2:52">
      <c r="B82" s="267">
        <v>44927</v>
      </c>
      <c r="C82">
        <v>65.040000000000006</v>
      </c>
      <c r="D82" s="79">
        <f t="shared" si="18"/>
        <v>-2.6599015990159961E-2</v>
      </c>
      <c r="E82" s="80">
        <f t="shared" si="19"/>
        <v>-3.0137349323493295E-2</v>
      </c>
      <c r="F82">
        <v>103.13</v>
      </c>
      <c r="G82" s="79">
        <f t="shared" si="20"/>
        <v>-8.629884611655185E-2</v>
      </c>
      <c r="H82" s="79">
        <f t="shared" si="21"/>
        <v>-8.9837179449885188E-2</v>
      </c>
      <c r="I82" s="79">
        <f t="shared" si="22"/>
        <v>-3.5002287320401761E-2</v>
      </c>
      <c r="J82" s="80">
        <f t="shared" si="23"/>
        <v>-6.8455731615592125E-2</v>
      </c>
      <c r="K82">
        <v>173.22</v>
      </c>
      <c r="L82" s="79">
        <f t="shared" si="24"/>
        <v>0.18756494631104959</v>
      </c>
      <c r="M82" s="79">
        <f t="shared" si="25"/>
        <v>0.18402661297771625</v>
      </c>
      <c r="N82" s="79">
        <f t="shared" si="26"/>
        <v>-5.3821909651354652E-2</v>
      </c>
      <c r="O82" s="80">
        <f t="shared" si="52"/>
        <v>0.22422768314296221</v>
      </c>
      <c r="P82">
        <v>499.77</v>
      </c>
      <c r="Q82" s="79">
        <f t="shared" si="27"/>
        <v>-5.2744262360685829E-2</v>
      </c>
      <c r="R82" s="79">
        <f t="shared" si="28"/>
        <v>-5.6282595694019159E-2</v>
      </c>
      <c r="S82" s="79">
        <f t="shared" si="53"/>
        <v>-2.2299936327049179E-2</v>
      </c>
      <c r="T82" s="80">
        <f t="shared" si="54"/>
        <v>-4.4375864530374544E-2</v>
      </c>
      <c r="U82">
        <v>353.86</v>
      </c>
      <c r="V82" s="79">
        <f t="shared" si="29"/>
        <v>-8.9668230373594129E-2</v>
      </c>
      <c r="W82" s="79">
        <f t="shared" si="30"/>
        <v>-9.3206563706927467E-2</v>
      </c>
      <c r="X82" s="79">
        <f t="shared" si="55"/>
        <v>-3.4616321613750944E-2</v>
      </c>
      <c r="Y82" s="80">
        <f t="shared" si="31"/>
        <v>-7.9286243464806797E-2</v>
      </c>
      <c r="Z82" s="249">
        <v>2434.1</v>
      </c>
      <c r="AA82" s="79">
        <f t="shared" si="32"/>
        <v>3.6933568875559791E-2</v>
      </c>
      <c r="AB82" s="79">
        <f t="shared" si="33"/>
        <v>3.339523554222646E-2</v>
      </c>
      <c r="AC82" s="79">
        <f t="shared" si="34"/>
        <v>-3.0288690040656072E-2</v>
      </c>
      <c r="AD82" s="80">
        <f t="shared" si="35"/>
        <v>5.75581070858295E-2</v>
      </c>
      <c r="AE82">
        <v>324.17</v>
      </c>
      <c r="AF82" s="79">
        <f t="shared" si="36"/>
        <v>-8.5233056729493772E-2</v>
      </c>
      <c r="AG82" s="79">
        <f t="shared" si="37"/>
        <v>-8.877139006282711E-2</v>
      </c>
      <c r="AH82" s="79">
        <f t="shared" si="38"/>
        <v>-2.5718641897568742E-2</v>
      </c>
      <c r="AI82" s="80">
        <f t="shared" si="39"/>
        <v>-6.6704103026865066E-2</v>
      </c>
      <c r="AJ82">
        <v>109.14</v>
      </c>
      <c r="AK82" s="79">
        <f t="shared" si="40"/>
        <v>-6.4595931830676176E-2</v>
      </c>
      <c r="AL82" s="79">
        <f t="shared" si="41"/>
        <v>-6.8134265164009514E-2</v>
      </c>
      <c r="AM82" s="79">
        <f t="shared" si="42"/>
        <v>-2.2161354141168158E-2</v>
      </c>
      <c r="AN82" s="80">
        <f t="shared" si="43"/>
        <v>-4.7091317430094953E-2</v>
      </c>
      <c r="AO82">
        <v>47.96</v>
      </c>
      <c r="AP82" s="79">
        <f t="shared" si="44"/>
        <v>-1.2093411175979948E-2</v>
      </c>
      <c r="AQ82" s="79">
        <f t="shared" si="45"/>
        <v>-1.5631744509313282E-2</v>
      </c>
      <c r="AR82" s="79">
        <f t="shared" si="46"/>
        <v>-1.3899213972304229E-2</v>
      </c>
      <c r="AS82" s="80">
        <f t="shared" si="47"/>
        <v>-6.9525549200483133E-3</v>
      </c>
      <c r="AT82" s="178">
        <f t="shared" si="17"/>
        <v>98.896834622442128</v>
      </c>
      <c r="AU82" s="80">
        <f t="shared" si="48"/>
        <v>-5.191537747309307E-2</v>
      </c>
      <c r="AV82">
        <v>50.66</v>
      </c>
      <c r="AW82" s="79">
        <f t="shared" si="49"/>
        <v>-1.4607185155941472E-2</v>
      </c>
      <c r="AX82" s="79">
        <f t="shared" si="50"/>
        <v>-1.8145518489274804E-2</v>
      </c>
      <c r="AZ82" s="307">
        <f t="shared" si="51"/>
        <v>-1.1991830834218491E-2</v>
      </c>
    </row>
    <row r="83" spans="2:52">
      <c r="B83" s="267">
        <v>44573</v>
      </c>
      <c r="C83">
        <v>56.96</v>
      </c>
      <c r="D83" s="79">
        <f t="shared" si="18"/>
        <v>0.14185393258426976</v>
      </c>
      <c r="E83" s="80">
        <f t="shared" si="19"/>
        <v>0.13831559925093642</v>
      </c>
      <c r="F83">
        <v>84</v>
      </c>
      <c r="G83" s="79">
        <f t="shared" si="20"/>
        <v>0.22773809523809518</v>
      </c>
      <c r="H83" s="79">
        <f t="shared" si="21"/>
        <v>0.22419976190476185</v>
      </c>
      <c r="I83" s="79">
        <f t="shared" si="22"/>
        <v>0.16064327004700388</v>
      </c>
      <c r="J83" s="80">
        <f t="shared" si="23"/>
        <v>4.9935652371649264E-2</v>
      </c>
      <c r="K83">
        <v>123.18</v>
      </c>
      <c r="L83" s="79">
        <f t="shared" si="24"/>
        <v>0.40623477837311245</v>
      </c>
      <c r="M83" s="79">
        <f t="shared" si="25"/>
        <v>0.40269644503977914</v>
      </c>
      <c r="N83" s="79">
        <f t="shared" si="26"/>
        <v>0.2470160731904068</v>
      </c>
      <c r="O83" s="80">
        <f t="shared" si="52"/>
        <v>0.14205953236326363</v>
      </c>
      <c r="P83">
        <v>446.35</v>
      </c>
      <c r="Q83" s="79">
        <f t="shared" si="27"/>
        <v>0.11968186400806533</v>
      </c>
      <c r="R83" s="79">
        <f t="shared" si="28"/>
        <v>0.11614353067473199</v>
      </c>
      <c r="S83" s="79">
        <f t="shared" si="53"/>
        <v>0.10234573131251111</v>
      </c>
      <c r="T83" s="80">
        <f t="shared" si="54"/>
        <v>3.4045941988163214E-3</v>
      </c>
      <c r="U83">
        <v>294.88</v>
      </c>
      <c r="V83" s="79">
        <f t="shared" si="29"/>
        <v>0.20001356483993496</v>
      </c>
      <c r="W83" s="79">
        <f t="shared" si="30"/>
        <v>0.19647523150660162</v>
      </c>
      <c r="X83" s="79">
        <f t="shared" si="55"/>
        <v>0.15887187743272033</v>
      </c>
      <c r="Y83" s="80">
        <f t="shared" si="31"/>
        <v>1.6907352702251022E-2</v>
      </c>
      <c r="Z83" s="249">
        <v>2015.28</v>
      </c>
      <c r="AA83" s="79">
        <f t="shared" si="32"/>
        <v>0.20782223810090902</v>
      </c>
      <c r="AB83" s="79">
        <f t="shared" si="33"/>
        <v>0.20428390476757569</v>
      </c>
      <c r="AC83" s="79">
        <f t="shared" si="34"/>
        <v>0.13901017865009804</v>
      </c>
      <c r="AD83" s="80">
        <f t="shared" si="35"/>
        <v>5.91479076204246E-2</v>
      </c>
      <c r="AE83">
        <v>315.86</v>
      </c>
      <c r="AF83" s="79">
        <f t="shared" si="36"/>
        <v>2.6309124295573996E-2</v>
      </c>
      <c r="AG83" s="79">
        <f t="shared" si="37"/>
        <v>2.2770790962240661E-2</v>
      </c>
      <c r="AH83" s="79">
        <f t="shared" si="38"/>
        <v>0.11803590713299424</v>
      </c>
      <c r="AI83" s="80">
        <f t="shared" si="39"/>
        <v>-9.8916471032360259E-2</v>
      </c>
      <c r="AJ83">
        <v>99.2</v>
      </c>
      <c r="AK83" s="79">
        <f t="shared" si="40"/>
        <v>0.10020161290322578</v>
      </c>
      <c r="AL83" s="79">
        <f t="shared" si="41"/>
        <v>9.6663279569892444E-2</v>
      </c>
      <c r="AM83" s="79">
        <f t="shared" si="42"/>
        <v>0.1017097072919548</v>
      </c>
      <c r="AN83" s="80">
        <f t="shared" si="43"/>
        <v>-6.1648341293159548E-3</v>
      </c>
      <c r="AO83">
        <v>47.26</v>
      </c>
      <c r="AP83" s="79">
        <f t="shared" si="44"/>
        <v>1.4811680067710598E-2</v>
      </c>
      <c r="AQ83" s="79">
        <f t="shared" si="45"/>
        <v>1.1273346734377266E-2</v>
      </c>
      <c r="AR83" s="79">
        <f t="shared" si="46"/>
        <v>6.3790550690454972E-2</v>
      </c>
      <c r="AS83" s="80">
        <f t="shared" si="47"/>
        <v>-5.7737228339116965E-2</v>
      </c>
      <c r="AT83" s="178">
        <f t="shared" si="17"/>
        <v>104.31224415269472</v>
      </c>
      <c r="AU83" s="80">
        <f t="shared" si="48"/>
        <v>0.13470169748285588</v>
      </c>
      <c r="AV83">
        <v>49.82</v>
      </c>
      <c r="AW83" s="79">
        <f t="shared" si="49"/>
        <v>1.6860698514652675E-2</v>
      </c>
      <c r="AX83" s="79">
        <f t="shared" si="50"/>
        <v>1.3322365181319342E-2</v>
      </c>
      <c r="AZ83" s="307">
        <f t="shared" si="51"/>
        <v>0.12499323406961708</v>
      </c>
    </row>
    <row r="84" spans="2:52">
      <c r="B84" s="267">
        <v>44572</v>
      </c>
      <c r="C84">
        <v>63.26</v>
      </c>
      <c r="D84" s="79">
        <f t="shared" si="18"/>
        <v>-9.9588997786911118E-2</v>
      </c>
      <c r="E84" s="80">
        <f t="shared" si="19"/>
        <v>-0.10312733112024446</v>
      </c>
      <c r="F84">
        <v>96.54</v>
      </c>
      <c r="G84" s="79">
        <f t="shared" si="20"/>
        <v>-0.1298943443132381</v>
      </c>
      <c r="H84" s="79">
        <f t="shared" si="21"/>
        <v>-0.13343267764657143</v>
      </c>
      <c r="I84" s="79">
        <f t="shared" si="22"/>
        <v>-0.11977471660532214</v>
      </c>
      <c r="J84" s="80">
        <f t="shared" si="23"/>
        <v>-2.7278800527357996E-2</v>
      </c>
      <c r="K84">
        <v>194.7</v>
      </c>
      <c r="L84" s="79">
        <f t="shared" si="24"/>
        <v>-0.36733436055469948</v>
      </c>
      <c r="M84" s="79">
        <f t="shared" si="25"/>
        <v>-0.37087269388803279</v>
      </c>
      <c r="N84" s="79">
        <f t="shared" si="26"/>
        <v>-0.18417379174791204</v>
      </c>
      <c r="O84" s="80">
        <f t="shared" si="52"/>
        <v>-0.20031974162622945</v>
      </c>
      <c r="P84">
        <v>527.26</v>
      </c>
      <c r="Q84" s="79">
        <f t="shared" si="27"/>
        <v>-0.15345370405492539</v>
      </c>
      <c r="R84" s="79">
        <f t="shared" si="28"/>
        <v>-0.15699203738825873</v>
      </c>
      <c r="S84" s="79">
        <f t="shared" si="53"/>
        <v>-7.6308400346517299E-2</v>
      </c>
      <c r="T84" s="80">
        <f t="shared" si="54"/>
        <v>-9.1076842205145989E-2</v>
      </c>
      <c r="U84">
        <v>305.52999999999997</v>
      </c>
      <c r="V84" s="79">
        <f t="shared" si="29"/>
        <v>-3.4857460805812777E-2</v>
      </c>
      <c r="W84" s="79">
        <f t="shared" si="30"/>
        <v>-3.8395794139146108E-2</v>
      </c>
      <c r="X84" s="79">
        <f t="shared" si="55"/>
        <v>-0.1184539762574041</v>
      </c>
      <c r="Y84" s="80">
        <f t="shared" si="31"/>
        <v>5.9362180746627718E-2</v>
      </c>
      <c r="Z84" s="249">
        <v>2079.4499999999998</v>
      </c>
      <c r="AA84" s="79">
        <f t="shared" si="32"/>
        <v>-3.0859121402293806E-2</v>
      </c>
      <c r="AB84" s="79">
        <f t="shared" si="33"/>
        <v>-3.4397454735627137E-2</v>
      </c>
      <c r="AC84" s="79">
        <f t="shared" si="34"/>
        <v>-0.10364520560493426</v>
      </c>
      <c r="AD84" s="80">
        <f t="shared" si="35"/>
        <v>6.3121932372254094E-2</v>
      </c>
      <c r="AE84">
        <v>323.99</v>
      </c>
      <c r="AF84" s="79">
        <f t="shared" si="36"/>
        <v>-2.5093367079230825E-2</v>
      </c>
      <c r="AG84" s="79">
        <f t="shared" si="37"/>
        <v>-2.8631700412564159E-2</v>
      </c>
      <c r="AH84" s="79">
        <f t="shared" si="38"/>
        <v>-8.800690699317712E-2</v>
      </c>
      <c r="AI84" s="80">
        <f t="shared" si="39"/>
        <v>5.5723851719006269E-2</v>
      </c>
      <c r="AJ84">
        <v>102.2</v>
      </c>
      <c r="AK84" s="79">
        <f t="shared" si="40"/>
        <v>-2.9354207436399216E-2</v>
      </c>
      <c r="AL84" s="79">
        <f t="shared" si="41"/>
        <v>-3.2892540769732546E-2</v>
      </c>
      <c r="AM84" s="79">
        <f t="shared" si="42"/>
        <v>-7.583418442204054E-2</v>
      </c>
      <c r="AN84" s="80">
        <f t="shared" si="43"/>
        <v>4.1823237245054393E-2</v>
      </c>
      <c r="AO84">
        <v>50.81</v>
      </c>
      <c r="AP84" s="79">
        <f t="shared" si="44"/>
        <v>-6.986813619366275E-2</v>
      </c>
      <c r="AQ84" s="79">
        <f t="shared" si="45"/>
        <v>-7.3406469526996088E-2</v>
      </c>
      <c r="AR84" s="79">
        <f t="shared" si="46"/>
        <v>-4.7561875009211954E-2</v>
      </c>
      <c r="AS84" s="80">
        <f t="shared" si="47"/>
        <v>-3.106461890082339E-2</v>
      </c>
      <c r="AT84" s="178">
        <f t="shared" si="17"/>
        <v>91.929221912766863</v>
      </c>
      <c r="AU84" s="80">
        <f t="shared" si="48"/>
        <v>-9.4328743835170703E-2</v>
      </c>
      <c r="AV84">
        <v>50</v>
      </c>
      <c r="AW84" s="79">
        <f t="shared" si="49"/>
        <v>-3.5999999999999943E-3</v>
      </c>
      <c r="AX84" s="79">
        <f t="shared" si="50"/>
        <v>-7.1383333333333273E-3</v>
      </c>
      <c r="AZ84" s="307">
        <f t="shared" si="51"/>
        <v>-9.5988997786911126E-2</v>
      </c>
    </row>
    <row r="85" spans="2:52">
      <c r="B85" s="267">
        <v>44571</v>
      </c>
      <c r="C85">
        <v>61.3</v>
      </c>
      <c r="D85" s="79">
        <f t="shared" si="18"/>
        <v>3.1973898858075056E-2</v>
      </c>
      <c r="E85" s="80">
        <f t="shared" si="19"/>
        <v>2.8435565524741722E-2</v>
      </c>
      <c r="F85">
        <v>102.44</v>
      </c>
      <c r="G85" s="79">
        <f t="shared" si="20"/>
        <v>-5.7594689574384926E-2</v>
      </c>
      <c r="H85" s="79">
        <f t="shared" si="21"/>
        <v>-6.1133022907718257E-2</v>
      </c>
      <c r="I85" s="79">
        <f t="shared" si="22"/>
        <v>3.3025792146863957E-2</v>
      </c>
      <c r="J85" s="80">
        <f t="shared" si="23"/>
        <v>-0.10777965454069091</v>
      </c>
      <c r="K85">
        <v>227.54</v>
      </c>
      <c r="L85" s="79">
        <f t="shared" si="24"/>
        <v>-0.14432627230377079</v>
      </c>
      <c r="M85" s="79">
        <f t="shared" si="25"/>
        <v>-0.14786460563710413</v>
      </c>
      <c r="N85" s="79">
        <f t="shared" si="26"/>
        <v>5.0782715564330359E-2</v>
      </c>
      <c r="O85" s="80">
        <f t="shared" si="52"/>
        <v>-0.2122681606875432</v>
      </c>
      <c r="P85">
        <v>490.35</v>
      </c>
      <c r="Q85" s="79">
        <f t="shared" si="27"/>
        <v>7.5272764351993413E-2</v>
      </c>
      <c r="R85" s="79">
        <f t="shared" si="28"/>
        <v>7.1734431018660075E-2</v>
      </c>
      <c r="S85" s="79">
        <f t="shared" si="53"/>
        <v>2.1040712433560288E-2</v>
      </c>
      <c r="T85" s="80">
        <f t="shared" si="54"/>
        <v>4.030051342169523E-2</v>
      </c>
      <c r="U85">
        <v>291.88</v>
      </c>
      <c r="V85" s="79">
        <f t="shared" si="29"/>
        <v>4.67657941619843E-2</v>
      </c>
      <c r="W85" s="79">
        <f t="shared" si="30"/>
        <v>4.322746082865097E-2</v>
      </c>
      <c r="X85" s="79">
        <f t="shared" si="55"/>
        <v>3.2661620997504873E-2</v>
      </c>
      <c r="Y85" s="80">
        <f t="shared" si="31"/>
        <v>-1.013016154048418E-2</v>
      </c>
      <c r="Z85" s="249">
        <v>1869.48</v>
      </c>
      <c r="AA85" s="79">
        <f t="shared" si="32"/>
        <v>0.11231465434238387</v>
      </c>
      <c r="AB85" s="79">
        <f t="shared" si="33"/>
        <v>0.10877632100905053</v>
      </c>
      <c r="AC85" s="79">
        <f t="shared" si="34"/>
        <v>2.8578360394763313E-2</v>
      </c>
      <c r="AD85" s="80">
        <f t="shared" si="35"/>
        <v>7.4072142117234188E-2</v>
      </c>
      <c r="AE85">
        <v>296.13</v>
      </c>
      <c r="AF85" s="79">
        <f t="shared" si="36"/>
        <v>9.4080302569817351E-2</v>
      </c>
      <c r="AG85" s="79">
        <f t="shared" si="37"/>
        <v>9.0541969236484013E-2</v>
      </c>
      <c r="AH85" s="79">
        <f t="shared" si="38"/>
        <v>2.4266371904034266E-2</v>
      </c>
      <c r="AI85" s="80">
        <f t="shared" si="39"/>
        <v>6.2624242470843056E-2</v>
      </c>
      <c r="AJ85">
        <v>86.59</v>
      </c>
      <c r="AK85" s="79">
        <f t="shared" si="40"/>
        <v>0.18027485852869846</v>
      </c>
      <c r="AL85" s="79">
        <f t="shared" si="41"/>
        <v>0.17673652519536512</v>
      </c>
      <c r="AM85" s="79">
        <f t="shared" si="42"/>
        <v>2.0909955651174327E-2</v>
      </c>
      <c r="AN85" s="80">
        <f t="shared" si="43"/>
        <v>0.15470816313693719</v>
      </c>
      <c r="AO85">
        <v>47.44</v>
      </c>
      <c r="AP85" s="79">
        <f t="shared" si="44"/>
        <v>7.1037099494097908E-2</v>
      </c>
      <c r="AQ85" s="79">
        <f t="shared" si="45"/>
        <v>6.749876616076457E-2</v>
      </c>
      <c r="AR85" s="79">
        <f t="shared" si="46"/>
        <v>1.3114358711824835E-2</v>
      </c>
      <c r="AS85" s="80">
        <f t="shared" si="47"/>
        <v>4.9164383065900472E-2</v>
      </c>
      <c r="AT85" s="178">
        <f t="shared" si="17"/>
        <v>101.5039632615171</v>
      </c>
      <c r="AU85" s="80">
        <f t="shared" si="48"/>
        <v>4.3331720351787582E-2</v>
      </c>
      <c r="AV85">
        <v>49.06</v>
      </c>
      <c r="AW85" s="79">
        <f t="shared" si="49"/>
        <v>1.9160211985324044E-2</v>
      </c>
      <c r="AX85" s="79">
        <f t="shared" si="50"/>
        <v>1.5621878651990712E-2</v>
      </c>
      <c r="AZ85" s="307">
        <f t="shared" si="51"/>
        <v>1.281368687275101E-2</v>
      </c>
    </row>
    <row r="86" spans="2:52">
      <c r="B86" s="267">
        <v>44570</v>
      </c>
      <c r="C86">
        <v>58.2</v>
      </c>
      <c r="D86" s="79">
        <f t="shared" si="18"/>
        <v>5.3264604810996465E-2</v>
      </c>
      <c r="E86" s="80">
        <f t="shared" si="19"/>
        <v>4.9726271477663134E-2</v>
      </c>
      <c r="F86">
        <v>113</v>
      </c>
      <c r="G86" s="79">
        <f t="shared" si="20"/>
        <v>-9.3451327433628342E-2</v>
      </c>
      <c r="H86" s="79">
        <f t="shared" si="21"/>
        <v>-9.698966076696168E-2</v>
      </c>
      <c r="I86" s="79">
        <f t="shared" si="22"/>
        <v>5.7753361881651859E-2</v>
      </c>
      <c r="J86" s="80">
        <f t="shared" si="23"/>
        <v>-0.16836386213472224</v>
      </c>
      <c r="K86">
        <v>265.25</v>
      </c>
      <c r="L86" s="79">
        <f t="shared" si="24"/>
        <v>-0.14216776625824698</v>
      </c>
      <c r="M86" s="79">
        <f t="shared" si="25"/>
        <v>-0.14570609959158032</v>
      </c>
      <c r="N86" s="79">
        <f t="shared" si="26"/>
        <v>8.8805517102434242E-2</v>
      </c>
      <c r="O86" s="80">
        <f t="shared" si="52"/>
        <v>-0.24813245618012325</v>
      </c>
      <c r="P86">
        <v>461.77</v>
      </c>
      <c r="Q86" s="79">
        <f t="shared" si="27"/>
        <v>6.189228403750794E-2</v>
      </c>
      <c r="R86" s="79">
        <f t="shared" si="28"/>
        <v>5.8353950704174609E-2</v>
      </c>
      <c r="S86" s="79">
        <f t="shared" si="53"/>
        <v>3.6794632329161824E-2</v>
      </c>
      <c r="T86" s="80">
        <f t="shared" si="54"/>
        <v>1.1166113211608229E-2</v>
      </c>
      <c r="U86">
        <v>235.44</v>
      </c>
      <c r="V86" s="79">
        <f t="shared" si="29"/>
        <v>0.23972137274889568</v>
      </c>
      <c r="W86" s="79">
        <f t="shared" si="30"/>
        <v>0.23618303941556235</v>
      </c>
      <c r="X86" s="79">
        <f t="shared" si="55"/>
        <v>5.7116523010921266E-2</v>
      </c>
      <c r="Y86" s="80">
        <f t="shared" si="31"/>
        <v>0.15837051503301081</v>
      </c>
      <c r="Z86" s="249">
        <v>1643.21</v>
      </c>
      <c r="AA86" s="79">
        <f t="shared" si="32"/>
        <v>0.13769998965439595</v>
      </c>
      <c r="AB86" s="79">
        <f t="shared" si="33"/>
        <v>0.13416165632106261</v>
      </c>
      <c r="AC86" s="79">
        <f t="shared" si="34"/>
        <v>4.9975981878749867E-2</v>
      </c>
      <c r="AD86" s="80">
        <f t="shared" si="35"/>
        <v>7.8059855945259701E-2</v>
      </c>
      <c r="AE86">
        <v>275.94</v>
      </c>
      <c r="AF86" s="79">
        <f t="shared" si="36"/>
        <v>7.3168080017395082E-2</v>
      </c>
      <c r="AG86" s="79">
        <f t="shared" si="37"/>
        <v>6.9629746684061744E-2</v>
      </c>
      <c r="AH86" s="79">
        <f t="shared" si="38"/>
        <v>4.2435456260858213E-2</v>
      </c>
      <c r="AI86" s="80">
        <f t="shared" si="39"/>
        <v>2.3542935561596832E-2</v>
      </c>
      <c r="AJ86">
        <v>84.26</v>
      </c>
      <c r="AK86" s="79">
        <f t="shared" si="40"/>
        <v>2.7652504153809616E-2</v>
      </c>
      <c r="AL86" s="79">
        <f t="shared" si="41"/>
        <v>2.4114170820476281E-2</v>
      </c>
      <c r="AM86" s="79">
        <f t="shared" si="42"/>
        <v>3.6565973354441846E-2</v>
      </c>
      <c r="AN86" s="80">
        <f t="shared" si="43"/>
        <v>-1.3570208941219162E-2</v>
      </c>
      <c r="AO86">
        <v>43.23</v>
      </c>
      <c r="AP86" s="79">
        <f t="shared" si="44"/>
        <v>9.7386074485311155E-2</v>
      </c>
      <c r="AQ86" s="79">
        <f t="shared" si="45"/>
        <v>9.3847741151977818E-2</v>
      </c>
      <c r="AR86" s="79">
        <f t="shared" si="46"/>
        <v>2.2933539373157289E-2</v>
      </c>
      <c r="AS86" s="80">
        <f t="shared" si="47"/>
        <v>6.5694177395781275E-2</v>
      </c>
      <c r="AT86" s="178">
        <f t="shared" si="17"/>
        <v>97.288294107738125</v>
      </c>
      <c r="AU86" s="80">
        <f t="shared" si="48"/>
        <v>5.2338695324838765E-2</v>
      </c>
      <c r="AV86">
        <v>49.28</v>
      </c>
      <c r="AW86" s="79">
        <f t="shared" si="49"/>
        <v>-4.4642857142856915E-3</v>
      </c>
      <c r="AX86" s="79">
        <f t="shared" si="50"/>
        <v>-8.0026190476190241E-3</v>
      </c>
      <c r="AZ86" s="307">
        <f t="shared" si="51"/>
        <v>5.7728890525282156E-2</v>
      </c>
    </row>
    <row r="87" spans="2:52">
      <c r="B87" s="267">
        <v>44569</v>
      </c>
      <c r="C87">
        <v>63.63</v>
      </c>
      <c r="D87" s="79">
        <f t="shared" si="18"/>
        <v>-8.5337105139085323E-2</v>
      </c>
      <c r="E87" s="80">
        <f t="shared" si="19"/>
        <v>-8.8875438472418661E-2</v>
      </c>
      <c r="F87">
        <v>126.77</v>
      </c>
      <c r="G87" s="79">
        <f t="shared" si="20"/>
        <v>-0.10862191370197993</v>
      </c>
      <c r="H87" s="79">
        <f t="shared" si="21"/>
        <v>-0.11216024703531327</v>
      </c>
      <c r="I87" s="79">
        <f t="shared" si="22"/>
        <v>-0.10322220443963387</v>
      </c>
      <c r="J87" s="80">
        <f t="shared" si="23"/>
        <v>-2.2558882081788106E-2</v>
      </c>
      <c r="K87">
        <v>275.61</v>
      </c>
      <c r="L87" s="79">
        <f t="shared" si="24"/>
        <v>-3.7589347266064416E-2</v>
      </c>
      <c r="M87" s="79">
        <f t="shared" si="25"/>
        <v>-4.1127680599397747E-2</v>
      </c>
      <c r="N87" s="79">
        <f t="shared" si="26"/>
        <v>-0.15872151755423808</v>
      </c>
      <c r="O87" s="80">
        <f t="shared" si="52"/>
        <v>0.10397299746873163</v>
      </c>
      <c r="P87">
        <v>510.49</v>
      </c>
      <c r="Q87" s="79">
        <f t="shared" si="27"/>
        <v>-9.5437716703559383E-2</v>
      </c>
      <c r="R87" s="79">
        <f t="shared" si="28"/>
        <v>-9.8976050036892721E-2</v>
      </c>
      <c r="S87" s="79">
        <f t="shared" si="53"/>
        <v>-6.5762804741043637E-2</v>
      </c>
      <c r="T87" s="80">
        <f t="shared" si="54"/>
        <v>-4.360645045925364E-2</v>
      </c>
      <c r="U87">
        <v>223.56</v>
      </c>
      <c r="V87" s="79">
        <f t="shared" si="29"/>
        <v>5.3140096618357467E-2</v>
      </c>
      <c r="W87" s="79">
        <f t="shared" si="30"/>
        <v>4.9601763285024136E-2</v>
      </c>
      <c r="X87" s="79">
        <f t="shared" si="55"/>
        <v>-0.10208398650793382</v>
      </c>
      <c r="Y87" s="80">
        <f t="shared" si="31"/>
        <v>0.13098974842132768</v>
      </c>
      <c r="Z87" s="249">
        <v>1875.81</v>
      </c>
      <c r="AA87" s="79">
        <f t="shared" si="32"/>
        <v>-0.12399976543466551</v>
      </c>
      <c r="AB87" s="79">
        <f t="shared" si="33"/>
        <v>-0.12753809876799885</v>
      </c>
      <c r="AC87" s="79">
        <f t="shared" si="34"/>
        <v>-8.9321744232497127E-2</v>
      </c>
      <c r="AD87" s="80">
        <f t="shared" si="35"/>
        <v>-4.4342173032554763E-2</v>
      </c>
      <c r="AE87">
        <v>288.42</v>
      </c>
      <c r="AF87" s="79">
        <f t="shared" si="36"/>
        <v>-4.3270230913251571E-2</v>
      </c>
      <c r="AG87" s="79">
        <f t="shared" si="37"/>
        <v>-4.6808564246584902E-2</v>
      </c>
      <c r="AH87" s="79">
        <f t="shared" si="38"/>
        <v>-7.5844612312327669E-2</v>
      </c>
      <c r="AI87" s="80">
        <f t="shared" si="39"/>
        <v>2.5384693204136076E-2</v>
      </c>
      <c r="AJ87">
        <v>84.07</v>
      </c>
      <c r="AK87" s="79">
        <f t="shared" si="40"/>
        <v>2.2600214107292966E-3</v>
      </c>
      <c r="AL87" s="79">
        <f t="shared" si="41"/>
        <v>-1.2783119226040364E-3</v>
      </c>
      <c r="AM87" s="79">
        <f t="shared" si="42"/>
        <v>-6.5354124057071181E-2</v>
      </c>
      <c r="AN87" s="80">
        <f t="shared" si="43"/>
        <v>6.2957405727213547E-2</v>
      </c>
      <c r="AO87">
        <v>44.18</v>
      </c>
      <c r="AP87" s="79">
        <f t="shared" si="44"/>
        <v>-2.1502942507922201E-2</v>
      </c>
      <c r="AQ87" s="79">
        <f t="shared" si="45"/>
        <v>-2.5041275841255536E-2</v>
      </c>
      <c r="AR87" s="79">
        <f t="shared" si="46"/>
        <v>-4.0988964323001705E-2</v>
      </c>
      <c r="AS87" s="80">
        <f t="shared" si="47"/>
        <v>1.0727664098706909E-2</v>
      </c>
      <c r="AT87" s="178">
        <f t="shared" si="17"/>
        <v>92.449602528116586</v>
      </c>
      <c r="AU87" s="80">
        <f t="shared" si="48"/>
        <v>-6.8637507163309991E-2</v>
      </c>
      <c r="AV87">
        <v>50.41</v>
      </c>
      <c r="AW87" s="79">
        <f t="shared" si="49"/>
        <v>-2.2416187264431571E-2</v>
      </c>
      <c r="AX87" s="79">
        <f t="shared" si="50"/>
        <v>-2.5954520597764905E-2</v>
      </c>
      <c r="AZ87" s="307">
        <f t="shared" si="51"/>
        <v>-6.2920917874653759E-2</v>
      </c>
    </row>
    <row r="88" spans="2:52">
      <c r="B88" s="267">
        <v>44568</v>
      </c>
      <c r="C88">
        <v>65.510000000000005</v>
      </c>
      <c r="D88" s="79">
        <f t="shared" si="18"/>
        <v>-2.8697908716226569E-2</v>
      </c>
      <c r="E88" s="80">
        <f t="shared" si="19"/>
        <v>-3.2236242049559903E-2</v>
      </c>
      <c r="F88">
        <v>134.94999999999999</v>
      </c>
      <c r="G88" s="79">
        <f t="shared" si="20"/>
        <v>-6.0615042608373422E-2</v>
      </c>
      <c r="H88" s="79">
        <f t="shared" si="21"/>
        <v>-6.4153375941706753E-2</v>
      </c>
      <c r="I88" s="79">
        <f t="shared" si="22"/>
        <v>-3.7439994945710896E-2</v>
      </c>
      <c r="J88" s="80">
        <f t="shared" si="23"/>
        <v>-4.0334220482104562E-2</v>
      </c>
      <c r="K88">
        <v>297.14999999999998</v>
      </c>
      <c r="L88" s="79">
        <f t="shared" si="24"/>
        <v>-7.2488642099949402E-2</v>
      </c>
      <c r="M88" s="79">
        <f t="shared" si="25"/>
        <v>-7.602697543328274E-2</v>
      </c>
      <c r="N88" s="79">
        <f t="shared" si="26"/>
        <v>-5.7570295531534914E-2</v>
      </c>
      <c r="O88" s="80">
        <f t="shared" si="52"/>
        <v>-3.207751938785653E-2</v>
      </c>
      <c r="P88">
        <v>529.26</v>
      </c>
      <c r="Q88" s="79">
        <f t="shared" si="27"/>
        <v>-3.5464610966254737E-2</v>
      </c>
      <c r="R88" s="79">
        <f t="shared" si="28"/>
        <v>-3.9002944299588067E-2</v>
      </c>
      <c r="S88" s="79">
        <f t="shared" si="53"/>
        <v>-2.3852998397843356E-2</v>
      </c>
      <c r="T88" s="80">
        <f t="shared" si="54"/>
        <v>-2.5543151065149275E-2</v>
      </c>
      <c r="U88">
        <v>224.9</v>
      </c>
      <c r="V88" s="79">
        <f t="shared" si="29"/>
        <v>-5.9582036460649329E-3</v>
      </c>
      <c r="W88" s="79">
        <f t="shared" si="30"/>
        <v>-9.4965369793982655E-3</v>
      </c>
      <c r="X88" s="79">
        <f t="shared" si="55"/>
        <v>-3.7027148951563491E-2</v>
      </c>
      <c r="Y88" s="80">
        <f t="shared" si="31"/>
        <v>6.8346106005349461E-3</v>
      </c>
      <c r="Z88" s="249">
        <v>1935.69</v>
      </c>
      <c r="AA88" s="79">
        <f t="shared" si="32"/>
        <v>-3.093470545386922E-2</v>
      </c>
      <c r="AB88" s="79">
        <f t="shared" si="33"/>
        <v>-3.4473038787202551E-2</v>
      </c>
      <c r="AC88" s="79">
        <f t="shared" si="34"/>
        <v>-3.2398122775633253E-2</v>
      </c>
      <c r="AD88" s="80">
        <f t="shared" si="35"/>
        <v>-8.200734508622326E-3</v>
      </c>
      <c r="AE88">
        <v>300.94</v>
      </c>
      <c r="AF88" s="79">
        <f t="shared" si="36"/>
        <v>-4.1602977337675227E-2</v>
      </c>
      <c r="AG88" s="79">
        <f t="shared" si="37"/>
        <v>-4.5141310671008558E-2</v>
      </c>
      <c r="AH88" s="79">
        <f t="shared" si="38"/>
        <v>-2.7509797112438245E-2</v>
      </c>
      <c r="AI88" s="80">
        <f t="shared" si="39"/>
        <v>-2.1282868420177004E-2</v>
      </c>
      <c r="AJ88">
        <v>84.78</v>
      </c>
      <c r="AK88" s="79">
        <f t="shared" si="40"/>
        <v>-8.3746166548715265E-3</v>
      </c>
      <c r="AL88" s="79">
        <f t="shared" si="41"/>
        <v>-1.1912949988204859E-2</v>
      </c>
      <c r="AM88" s="79">
        <f t="shared" si="42"/>
        <v>-2.3704764761239651E-2</v>
      </c>
      <c r="AN88" s="80">
        <f t="shared" si="43"/>
        <v>1.0673408365781192E-2</v>
      </c>
      <c r="AO88">
        <v>44.02</v>
      </c>
      <c r="AP88" s="79">
        <f t="shared" si="44"/>
        <v>3.6347114947750244E-3</v>
      </c>
      <c r="AQ88" s="79">
        <f t="shared" si="45"/>
        <v>9.6378161441691441E-5</v>
      </c>
      <c r="AR88" s="79">
        <f t="shared" si="46"/>
        <v>-1.4867214136863201E-2</v>
      </c>
      <c r="AS88" s="80">
        <f t="shared" si="47"/>
        <v>9.7435679152656322E-3</v>
      </c>
      <c r="AT88" s="178">
        <f t="shared" si="17"/>
        <v>99.2627502601473</v>
      </c>
      <c r="AU88" s="80">
        <f t="shared" si="48"/>
        <v>-3.7159431839652646E-2</v>
      </c>
      <c r="AV88">
        <v>51.27</v>
      </c>
      <c r="AW88" s="79">
        <f t="shared" si="49"/>
        <v>-1.6773941876341066E-2</v>
      </c>
      <c r="AX88" s="79">
        <f t="shared" si="50"/>
        <v>-2.0312275209674401E-2</v>
      </c>
      <c r="AZ88" s="307">
        <f t="shared" si="51"/>
        <v>-1.1923966839885503E-2</v>
      </c>
    </row>
    <row r="89" spans="2:52">
      <c r="B89" s="267">
        <v>44567</v>
      </c>
      <c r="C89">
        <v>56.74</v>
      </c>
      <c r="D89" s="79">
        <f t="shared" si="18"/>
        <v>0.1545646810010575</v>
      </c>
      <c r="E89" s="80">
        <f t="shared" si="19"/>
        <v>0.15102634766772416</v>
      </c>
      <c r="F89">
        <v>106.21</v>
      </c>
      <c r="G89" s="79">
        <f t="shared" si="20"/>
        <v>0.27059598907824117</v>
      </c>
      <c r="H89" s="79">
        <f t="shared" si="21"/>
        <v>0.26705765574490786</v>
      </c>
      <c r="I89" s="79">
        <f t="shared" si="22"/>
        <v>0.17540585793640809</v>
      </c>
      <c r="J89" s="80">
        <f t="shared" si="23"/>
        <v>7.803095832239107E-2</v>
      </c>
      <c r="K89">
        <v>224.47</v>
      </c>
      <c r="L89" s="79">
        <f t="shared" si="24"/>
        <v>0.32378491557891914</v>
      </c>
      <c r="M89" s="79">
        <f t="shared" si="25"/>
        <v>0.32024658224558583</v>
      </c>
      <c r="N89" s="79">
        <f t="shared" si="26"/>
        <v>0.26971603746218675</v>
      </c>
      <c r="O89" s="80">
        <f t="shared" si="52"/>
        <v>3.6909705297290374E-2</v>
      </c>
      <c r="P89">
        <v>468.62</v>
      </c>
      <c r="Q89" s="79">
        <f t="shared" si="27"/>
        <v>0.12940122060518114</v>
      </c>
      <c r="R89" s="79">
        <f t="shared" si="28"/>
        <v>0.1258628872718478</v>
      </c>
      <c r="S89" s="79">
        <f t="shared" si="53"/>
        <v>0.11175096723160197</v>
      </c>
      <c r="T89" s="80">
        <f t="shared" si="54"/>
        <v>3.7187148768412781E-3</v>
      </c>
      <c r="U89">
        <v>174.87</v>
      </c>
      <c r="V89" s="79">
        <f t="shared" si="29"/>
        <v>0.28609824441013326</v>
      </c>
      <c r="W89" s="79">
        <f t="shared" si="30"/>
        <v>0.28255991107679995</v>
      </c>
      <c r="X89" s="79">
        <f t="shared" si="55"/>
        <v>0.17347168016998371</v>
      </c>
      <c r="Y89" s="80">
        <f t="shared" si="31"/>
        <v>8.839222953518594E-2</v>
      </c>
      <c r="Z89" s="249">
        <v>1748.99</v>
      </c>
      <c r="AA89" s="79">
        <f t="shared" si="32"/>
        <v>0.10674732274055314</v>
      </c>
      <c r="AB89" s="79">
        <f t="shared" si="33"/>
        <v>0.1032089894072198</v>
      </c>
      <c r="AC89" s="79">
        <f t="shared" si="34"/>
        <v>0.15178475662802016</v>
      </c>
      <c r="AD89" s="80">
        <f t="shared" si="35"/>
        <v>-5.4701585717853385E-2</v>
      </c>
      <c r="AE89">
        <v>274.27</v>
      </c>
      <c r="AF89" s="79">
        <f t="shared" si="36"/>
        <v>9.7239946038575192E-2</v>
      </c>
      <c r="AG89" s="79">
        <f t="shared" si="37"/>
        <v>9.3701612705241855E-2</v>
      </c>
      <c r="AH89" s="79">
        <f t="shared" si="38"/>
        <v>0.12888301857841317</v>
      </c>
      <c r="AI89" s="80">
        <f t="shared" si="39"/>
        <v>-3.883276073477801E-2</v>
      </c>
      <c r="AJ89">
        <v>76.39</v>
      </c>
      <c r="AK89" s="79">
        <f t="shared" si="40"/>
        <v>0.10983112972902213</v>
      </c>
      <c r="AL89" s="79">
        <f t="shared" si="41"/>
        <v>0.1062927963956888</v>
      </c>
      <c r="AM89" s="79">
        <f t="shared" si="42"/>
        <v>0.11105649469651724</v>
      </c>
      <c r="AN89" s="80">
        <f t="shared" si="43"/>
        <v>-5.8821047080820366E-3</v>
      </c>
      <c r="AO89">
        <v>40.53</v>
      </c>
      <c r="AP89" s="79">
        <f t="shared" si="44"/>
        <v>8.6109055020972172E-2</v>
      </c>
      <c r="AQ89" s="79">
        <f t="shared" si="45"/>
        <v>8.2570721687638834E-2</v>
      </c>
      <c r="AR89" s="79">
        <f t="shared" si="46"/>
        <v>6.9652692383697354E-2</v>
      </c>
      <c r="AS89" s="80">
        <f t="shared" si="47"/>
        <v>7.6980049209022239E-3</v>
      </c>
      <c r="AT89" s="178">
        <f t="shared" si="17"/>
        <v>103.09365178682054</v>
      </c>
      <c r="AU89" s="80">
        <f t="shared" si="48"/>
        <v>0.16302132550176249</v>
      </c>
      <c r="AV89">
        <v>50.55</v>
      </c>
      <c r="AW89" s="79">
        <f t="shared" si="49"/>
        <v>1.4243323442136618E-2</v>
      </c>
      <c r="AX89" s="79">
        <f t="shared" si="50"/>
        <v>1.0704990108803285E-2</v>
      </c>
      <c r="AZ89" s="307">
        <f t="shared" si="51"/>
        <v>0.14032135755892086</v>
      </c>
    </row>
    <row r="90" spans="2:52">
      <c r="B90" s="267">
        <v>44566</v>
      </c>
      <c r="C90">
        <v>63.6</v>
      </c>
      <c r="D90" s="79">
        <f t="shared" si="18"/>
        <v>-0.10786163522012578</v>
      </c>
      <c r="E90" s="80">
        <f t="shared" si="19"/>
        <v>-0.11139996855345911</v>
      </c>
      <c r="F90">
        <v>120.21</v>
      </c>
      <c r="G90" s="79">
        <f t="shared" si="20"/>
        <v>-0.11646285666749855</v>
      </c>
      <c r="H90" s="79">
        <f t="shared" si="21"/>
        <v>-0.12000119000083188</v>
      </c>
      <c r="I90" s="79">
        <f t="shared" si="22"/>
        <v>-0.12938276903311696</v>
      </c>
      <c r="J90" s="80">
        <f t="shared" si="23"/>
        <v>-4.2392604538236123E-3</v>
      </c>
      <c r="K90">
        <v>252.75</v>
      </c>
      <c r="L90" s="79">
        <f t="shared" si="24"/>
        <v>-0.11188921859545005</v>
      </c>
      <c r="M90" s="79">
        <f t="shared" si="25"/>
        <v>-0.11542755192878339</v>
      </c>
      <c r="N90" s="79">
        <f t="shared" si="26"/>
        <v>-0.19894778994296244</v>
      </c>
      <c r="O90" s="80">
        <f t="shared" si="52"/>
        <v>6.9899398528070367E-2</v>
      </c>
      <c r="P90">
        <v>455.85</v>
      </c>
      <c r="Q90" s="79">
        <f t="shared" si="27"/>
        <v>2.801360096522975E-2</v>
      </c>
      <c r="R90" s="79">
        <f t="shared" si="28"/>
        <v>2.4475267631896416E-2</v>
      </c>
      <c r="S90" s="79">
        <f t="shared" si="53"/>
        <v>-8.2429684804458697E-2</v>
      </c>
      <c r="T90" s="80">
        <f t="shared" si="54"/>
        <v>9.651174727295056E-2</v>
      </c>
      <c r="U90">
        <v>197.44</v>
      </c>
      <c r="V90" s="79">
        <f t="shared" si="29"/>
        <v>-0.11431320907617501</v>
      </c>
      <c r="W90" s="79">
        <f t="shared" si="30"/>
        <v>-0.11785154240950835</v>
      </c>
      <c r="X90" s="79">
        <f t="shared" si="55"/>
        <v>-0.12795608193060867</v>
      </c>
      <c r="Y90" s="80">
        <f t="shared" si="31"/>
        <v>-1.0591461850529948E-2</v>
      </c>
      <c r="Z90" s="249">
        <v>2243.56</v>
      </c>
      <c r="AA90" s="79">
        <f t="shared" si="32"/>
        <v>-0.22043983668812064</v>
      </c>
      <c r="AB90" s="79">
        <f t="shared" si="33"/>
        <v>-0.22397817002145398</v>
      </c>
      <c r="AC90" s="79">
        <f t="shared" si="34"/>
        <v>-0.11195938573882015</v>
      </c>
      <c r="AD90" s="80">
        <f t="shared" si="35"/>
        <v>-0.11814460277968687</v>
      </c>
      <c r="AE90">
        <v>302.75</v>
      </c>
      <c r="AF90" s="79">
        <f t="shared" si="36"/>
        <v>-9.4071015689512857E-2</v>
      </c>
      <c r="AG90" s="79">
        <f t="shared" si="37"/>
        <v>-9.7609349022846195E-2</v>
      </c>
      <c r="AH90" s="79">
        <f t="shared" si="38"/>
        <v>-9.5066618761770333E-2</v>
      </c>
      <c r="AI90" s="80">
        <f t="shared" si="39"/>
        <v>-6.1940851226825605E-3</v>
      </c>
      <c r="AJ90">
        <v>78.5</v>
      </c>
      <c r="AK90" s="79">
        <f t="shared" si="40"/>
        <v>-2.6878980891719736E-2</v>
      </c>
      <c r="AL90" s="79">
        <f t="shared" si="41"/>
        <v>-3.0417314225053071E-2</v>
      </c>
      <c r="AM90" s="79">
        <f t="shared" si="42"/>
        <v>-8.191742836864864E-2</v>
      </c>
      <c r="AN90" s="80">
        <f t="shared" si="43"/>
        <v>5.0381707736341971E-2</v>
      </c>
      <c r="AO90">
        <v>42.88</v>
      </c>
      <c r="AP90" s="79">
        <f t="shared" si="44"/>
        <v>-5.480410447761197E-2</v>
      </c>
      <c r="AQ90" s="79">
        <f t="shared" si="45"/>
        <v>-5.8342437810945301E-2</v>
      </c>
      <c r="AR90" s="79">
        <f t="shared" si="46"/>
        <v>-5.1377179287146912E-2</v>
      </c>
      <c r="AS90" s="80">
        <f t="shared" si="47"/>
        <v>-1.2185282906837652E-2</v>
      </c>
      <c r="AT90" s="178">
        <f t="shared" si="17"/>
        <v>88.642959098228772</v>
      </c>
      <c r="AU90" s="80">
        <f t="shared" si="48"/>
        <v>-8.7843752402945272E-2</v>
      </c>
      <c r="AV90">
        <v>51.27</v>
      </c>
      <c r="AW90" s="79">
        <f t="shared" si="49"/>
        <v>-1.4043300175541368E-2</v>
      </c>
      <c r="AX90" s="79">
        <f t="shared" si="50"/>
        <v>-1.7581633508874702E-2</v>
      </c>
      <c r="AZ90" s="307">
        <f t="shared" si="51"/>
        <v>-9.3818335044584408E-2</v>
      </c>
    </row>
    <row r="91" spans="2:52">
      <c r="B91" s="267">
        <v>44565</v>
      </c>
      <c r="C91">
        <v>66.66</v>
      </c>
      <c r="D91" s="79">
        <f t="shared" si="18"/>
        <v>-4.5904590459045831E-2</v>
      </c>
      <c r="E91" s="80">
        <f t="shared" si="19"/>
        <v>-4.9442923792379162E-2</v>
      </c>
      <c r="F91">
        <v>124.28</v>
      </c>
      <c r="G91" s="79">
        <f t="shared" si="20"/>
        <v>-3.274863212101712E-2</v>
      </c>
      <c r="H91" s="79">
        <f t="shared" si="21"/>
        <v>-3.6286965454350451E-2</v>
      </c>
      <c r="I91" s="79">
        <f t="shared" si="22"/>
        <v>-5.7424274642245934E-2</v>
      </c>
      <c r="J91" s="80">
        <f t="shared" si="23"/>
        <v>7.5164697017867863E-3</v>
      </c>
      <c r="K91">
        <v>290.25</v>
      </c>
      <c r="L91" s="79">
        <f t="shared" si="24"/>
        <v>-0.12919896640826872</v>
      </c>
      <c r="M91" s="79">
        <f t="shared" si="25"/>
        <v>-0.13273729974160206</v>
      </c>
      <c r="N91" s="79">
        <f t="shared" si="26"/>
        <v>-8.8299490067555428E-2</v>
      </c>
      <c r="O91" s="80">
        <f t="shared" si="52"/>
        <v>-5.8058649160155337E-2</v>
      </c>
      <c r="P91">
        <v>519.9</v>
      </c>
      <c r="Q91" s="79">
        <f t="shared" si="27"/>
        <v>-0.12319676860934788</v>
      </c>
      <c r="R91" s="79">
        <f t="shared" si="28"/>
        <v>-0.1267351019426812</v>
      </c>
      <c r="S91" s="79">
        <f t="shared" si="53"/>
        <v>-3.6584971045668525E-2</v>
      </c>
      <c r="T91" s="80">
        <f t="shared" si="54"/>
        <v>-0.10054333606041724</v>
      </c>
      <c r="U91">
        <v>190.36</v>
      </c>
      <c r="V91" s="79">
        <f t="shared" si="29"/>
        <v>3.7192687539398944E-2</v>
      </c>
      <c r="W91" s="79">
        <f t="shared" si="30"/>
        <v>3.3654354206065613E-2</v>
      </c>
      <c r="X91" s="79">
        <f t="shared" si="55"/>
        <v>-5.6791064574048859E-2</v>
      </c>
      <c r="Y91" s="80">
        <f t="shared" si="31"/>
        <v>6.9749417408484199E-2</v>
      </c>
      <c r="Z91" s="249">
        <v>2210.31</v>
      </c>
      <c r="AA91" s="79">
        <f t="shared" si="32"/>
        <v>1.504313874524388E-2</v>
      </c>
      <c r="AB91" s="79">
        <f t="shared" si="33"/>
        <v>1.1504805411910547E-2</v>
      </c>
      <c r="AC91" s="79">
        <f t="shared" si="34"/>
        <v>-4.9691211306488112E-2</v>
      </c>
      <c r="AD91" s="80">
        <f t="shared" si="35"/>
        <v>5.507019822134563E-2</v>
      </c>
      <c r="AE91">
        <v>300.39999999999998</v>
      </c>
      <c r="AF91" s="79">
        <f t="shared" si="36"/>
        <v>7.8229027962717149E-3</v>
      </c>
      <c r="AG91" s="79">
        <f t="shared" si="37"/>
        <v>4.2845694629383823E-3</v>
      </c>
      <c r="AH91" s="79">
        <f t="shared" si="38"/>
        <v>-4.2193652724253135E-2</v>
      </c>
      <c r="AI91" s="80">
        <f t="shared" si="39"/>
        <v>4.2826867325584828E-2</v>
      </c>
      <c r="AJ91">
        <v>74.64</v>
      </c>
      <c r="AK91" s="79">
        <f t="shared" si="40"/>
        <v>5.171489817792068E-2</v>
      </c>
      <c r="AL91" s="79">
        <f t="shared" si="41"/>
        <v>4.817656484458735E-2</v>
      </c>
      <c r="AM91" s="79">
        <f t="shared" si="42"/>
        <v>-3.6357615003770202E-2</v>
      </c>
      <c r="AN91" s="80">
        <f t="shared" si="43"/>
        <v>8.3415773441103958E-2</v>
      </c>
      <c r="AO91">
        <v>51</v>
      </c>
      <c r="AP91" s="79">
        <f t="shared" si="44"/>
        <v>-0.15921568627450974</v>
      </c>
      <c r="AQ91" s="79">
        <f t="shared" si="45"/>
        <v>-0.16275401960784308</v>
      </c>
      <c r="AR91" s="79">
        <f t="shared" si="46"/>
        <v>-2.2802860657386858E-2</v>
      </c>
      <c r="AS91" s="80">
        <f t="shared" si="47"/>
        <v>-0.14517118333349549</v>
      </c>
      <c r="AT91" s="178">
        <f t="shared" si="17"/>
        <v>97.179577875770718</v>
      </c>
      <c r="AU91" s="80">
        <f t="shared" si="48"/>
        <v>-5.3536939594896721E-2</v>
      </c>
      <c r="AV91">
        <v>50.91</v>
      </c>
      <c r="AW91" s="79">
        <f t="shared" si="49"/>
        <v>7.0713022981733755E-3</v>
      </c>
      <c r="AX91" s="79">
        <f t="shared" si="50"/>
        <v>3.5329689648400425E-3</v>
      </c>
      <c r="AZ91" s="307">
        <f t="shared" si="51"/>
        <v>-5.2975892757219208E-2</v>
      </c>
    </row>
    <row r="92" spans="2:52">
      <c r="B92" s="267">
        <v>44564</v>
      </c>
      <c r="C92">
        <v>75.040000000000006</v>
      </c>
      <c r="D92" s="79">
        <f t="shared" si="18"/>
        <v>-0.11167377398720695</v>
      </c>
      <c r="E92" s="80">
        <f t="shared" si="19"/>
        <v>-0.11521210732054028</v>
      </c>
      <c r="F92">
        <v>163</v>
      </c>
      <c r="G92" s="79">
        <f t="shared" si="20"/>
        <v>-0.23754601226993866</v>
      </c>
      <c r="H92" s="79">
        <f t="shared" si="21"/>
        <v>-0.24108434560327199</v>
      </c>
      <c r="I92" s="79">
        <f t="shared" si="22"/>
        <v>-0.13381028437291495</v>
      </c>
      <c r="J92" s="80">
        <f t="shared" si="23"/>
        <v>-0.12089490071646572</v>
      </c>
      <c r="K92">
        <v>359.2</v>
      </c>
      <c r="L92" s="79">
        <f t="shared" si="24"/>
        <v>-0.19195434298440978</v>
      </c>
      <c r="M92" s="79">
        <f t="shared" si="25"/>
        <v>-0.19549267631774311</v>
      </c>
      <c r="N92" s="79">
        <f t="shared" si="26"/>
        <v>-0.20575584018314486</v>
      </c>
      <c r="O92" s="80">
        <f t="shared" si="52"/>
        <v>-3.3576756207069625E-3</v>
      </c>
      <c r="P92">
        <v>563.04999999999995</v>
      </c>
      <c r="Q92" s="79">
        <f t="shared" si="27"/>
        <v>-7.6636177959328616E-2</v>
      </c>
      <c r="R92" s="79">
        <f t="shared" si="28"/>
        <v>-8.0174511292661954E-2</v>
      </c>
      <c r="S92" s="79">
        <f t="shared" si="53"/>
        <v>-8.5250452180623285E-2</v>
      </c>
      <c r="T92" s="80">
        <f t="shared" si="54"/>
        <v>-5.3172642754432259E-3</v>
      </c>
      <c r="U92">
        <v>374.59</v>
      </c>
      <c r="V92" s="79">
        <f t="shared" si="29"/>
        <v>-0.49181772070797397</v>
      </c>
      <c r="W92" s="79">
        <f t="shared" si="30"/>
        <v>-0.49535605404130728</v>
      </c>
      <c r="X92" s="79">
        <f t="shared" si="55"/>
        <v>-0.13233477562994672</v>
      </c>
      <c r="Y92" s="80">
        <f t="shared" si="31"/>
        <v>-0.38371727978299081</v>
      </c>
      <c r="Z92" s="249">
        <v>2348.4499999999998</v>
      </c>
      <c r="AA92" s="79">
        <f t="shared" si="32"/>
        <v>-5.8821776065064141E-2</v>
      </c>
      <c r="AB92" s="79">
        <f t="shared" si="33"/>
        <v>-6.2360109398397472E-2</v>
      </c>
      <c r="AC92" s="79">
        <f t="shared" si="34"/>
        <v>-0.11579066792189129</v>
      </c>
      <c r="AD92" s="80">
        <f t="shared" si="35"/>
        <v>4.7304740026440778E-2</v>
      </c>
      <c r="AE92">
        <v>299.33</v>
      </c>
      <c r="AF92" s="79">
        <f t="shared" si="36"/>
        <v>3.5746500517822911E-3</v>
      </c>
      <c r="AG92" s="79">
        <f t="shared" si="37"/>
        <v>3.6316718448958091E-5</v>
      </c>
      <c r="AH92" s="79">
        <f t="shared" si="38"/>
        <v>-9.8319825630165059E-2</v>
      </c>
      <c r="AI92" s="80">
        <f t="shared" si="39"/>
        <v>9.4704787487007322E-2</v>
      </c>
      <c r="AJ92">
        <v>90.97</v>
      </c>
      <c r="AK92" s="79">
        <f t="shared" si="40"/>
        <v>-0.1795097284819171</v>
      </c>
      <c r="AL92" s="79">
        <f t="shared" si="41"/>
        <v>-0.18304806181525043</v>
      </c>
      <c r="AM92" s="79">
        <f t="shared" si="42"/>
        <v>-8.4720666183153603E-2</v>
      </c>
      <c r="AN92" s="80">
        <f t="shared" si="43"/>
        <v>-9.9445802039350439E-2</v>
      </c>
      <c r="AO92">
        <v>49.64</v>
      </c>
      <c r="AP92" s="79">
        <f t="shared" si="44"/>
        <v>2.7397260273972591E-2</v>
      </c>
      <c r="AQ92" s="79">
        <f t="shared" si="45"/>
        <v>2.3858926940639257E-2</v>
      </c>
      <c r="AR92" s="79">
        <f t="shared" si="46"/>
        <v>-5.3135321048289545E-2</v>
      </c>
      <c r="AS92" s="80">
        <f t="shared" si="47"/>
        <v>7.1774223605889545E-2</v>
      </c>
      <c r="AT92" s="178">
        <f t="shared" si="17"/>
        <v>102.67656704338371</v>
      </c>
      <c r="AU92" s="80">
        <f t="shared" si="48"/>
        <v>-0.13248313089073613</v>
      </c>
      <c r="AV92">
        <v>51.72</v>
      </c>
      <c r="AW92" s="79">
        <f t="shared" si="49"/>
        <v>-1.5661252900232063E-2</v>
      </c>
      <c r="AX92" s="79">
        <f t="shared" si="50"/>
        <v>-1.9199586233565397E-2</v>
      </c>
      <c r="AZ92" s="307">
        <f t="shared" si="51"/>
        <v>-9.6012521086974889E-2</v>
      </c>
    </row>
    <row r="93" spans="2:52">
      <c r="B93" s="267">
        <v>44563</v>
      </c>
      <c r="C93">
        <v>73.569999999999993</v>
      </c>
      <c r="D93" s="79">
        <f t="shared" si="18"/>
        <v>1.9980970504281815E-2</v>
      </c>
      <c r="E93" s="80">
        <f t="shared" si="19"/>
        <v>1.6442637170948481E-2</v>
      </c>
      <c r="F93">
        <v>153.56</v>
      </c>
      <c r="G93" s="79">
        <f t="shared" si="20"/>
        <v>6.1474342276634522E-2</v>
      </c>
      <c r="H93" s="79">
        <f t="shared" si="21"/>
        <v>5.7936008943301191E-2</v>
      </c>
      <c r="I93" s="79">
        <f t="shared" si="22"/>
        <v>1.9096898814322985E-2</v>
      </c>
      <c r="J93" s="80">
        <f t="shared" si="23"/>
        <v>2.5218270642869509E-2</v>
      </c>
      <c r="K93">
        <v>290.14</v>
      </c>
      <c r="L93" s="79">
        <f t="shared" si="24"/>
        <v>0.23802302336802925</v>
      </c>
      <c r="M93" s="79">
        <f t="shared" si="25"/>
        <v>0.23448469003469591</v>
      </c>
      <c r="N93" s="79">
        <f t="shared" si="26"/>
        <v>2.9364697032426845E-2</v>
      </c>
      <c r="O93" s="80">
        <f t="shared" si="52"/>
        <v>0.19149915351616037</v>
      </c>
      <c r="P93">
        <v>507.7</v>
      </c>
      <c r="Q93" s="79">
        <f t="shared" si="27"/>
        <v>0.10902107543825088</v>
      </c>
      <c r="R93" s="79">
        <f t="shared" si="28"/>
        <v>0.10548274210491754</v>
      </c>
      <c r="S93" s="79">
        <f t="shared" si="53"/>
        <v>1.2166622818254593E-2</v>
      </c>
      <c r="T93" s="80">
        <f t="shared" si="54"/>
        <v>8.292291412325839E-2</v>
      </c>
      <c r="U93">
        <v>394.52</v>
      </c>
      <c r="V93" s="79">
        <f t="shared" si="29"/>
        <v>-5.0517084051505644E-2</v>
      </c>
      <c r="W93" s="79">
        <f t="shared" si="30"/>
        <v>-5.4055417384838975E-2</v>
      </c>
      <c r="X93" s="79">
        <f t="shared" si="55"/>
        <v>1.8886319774780811E-2</v>
      </c>
      <c r="Y93" s="80">
        <f t="shared" si="31"/>
        <v>-9.3637738531250056E-2</v>
      </c>
      <c r="Z93" s="249">
        <v>2172.25</v>
      </c>
      <c r="AA93" s="79">
        <f t="shared" si="32"/>
        <v>8.1114052249971147E-2</v>
      </c>
      <c r="AB93" s="79">
        <f t="shared" si="33"/>
        <v>7.7575718916637809E-2</v>
      </c>
      <c r="AC93" s="79">
        <f t="shared" si="34"/>
        <v>1.6525207156609389E-2</v>
      </c>
      <c r="AD93" s="80">
        <f t="shared" si="35"/>
        <v>5.4924693262975388E-2</v>
      </c>
      <c r="AE93">
        <v>315.83</v>
      </c>
      <c r="AF93" s="79">
        <f t="shared" si="36"/>
        <v>-5.2243295443751385E-2</v>
      </c>
      <c r="AG93" s="79">
        <f t="shared" si="37"/>
        <v>-5.5781628777084716E-2</v>
      </c>
      <c r="AH93" s="79">
        <f t="shared" si="38"/>
        <v>1.4031834475954484E-2</v>
      </c>
      <c r="AI93" s="80">
        <f t="shared" si="39"/>
        <v>-7.3464818114645891E-2</v>
      </c>
      <c r="AJ93">
        <v>91.79</v>
      </c>
      <c r="AK93" s="79">
        <f t="shared" si="40"/>
        <v>-8.933435014707565E-3</v>
      </c>
      <c r="AL93" s="79">
        <f t="shared" si="41"/>
        <v>-1.2471768348040898E-2</v>
      </c>
      <c r="AM93" s="79">
        <f t="shared" si="42"/>
        <v>1.2091013759994705E-2</v>
      </c>
      <c r="AN93" s="80">
        <f t="shared" si="43"/>
        <v>-2.5681188515289201E-2</v>
      </c>
      <c r="AO93">
        <v>45.05</v>
      </c>
      <c r="AP93" s="79">
        <f t="shared" si="44"/>
        <v>0.10188679245283028</v>
      </c>
      <c r="AQ93" s="79">
        <f t="shared" si="45"/>
        <v>9.8348459119496939E-2</v>
      </c>
      <c r="AR93" s="79">
        <f t="shared" si="46"/>
        <v>7.5832724986805641E-3</v>
      </c>
      <c r="AS93" s="80">
        <f t="shared" si="47"/>
        <v>8.5545162237777111E-2</v>
      </c>
      <c r="AT93" s="178">
        <f t="shared" si="17"/>
        <v>118.35685356621185</v>
      </c>
      <c r="AU93" s="80">
        <f t="shared" si="48"/>
        <v>4.7841062273678833E-2</v>
      </c>
      <c r="AV93">
        <v>52.8</v>
      </c>
      <c r="AW93" s="79">
        <f t="shared" si="49"/>
        <v>-2.0454545454545423E-2</v>
      </c>
      <c r="AX93" s="79">
        <f t="shared" si="50"/>
        <v>-2.3992878787878757E-2</v>
      </c>
      <c r="AZ93" s="307">
        <f t="shared" si="51"/>
        <v>4.0435515958827238E-2</v>
      </c>
    </row>
    <row r="94" spans="2:52">
      <c r="B94" s="267">
        <v>44562</v>
      </c>
      <c r="C94">
        <v>75.86</v>
      </c>
      <c r="D94" s="79">
        <f t="shared" si="18"/>
        <v>-3.0187186923279808E-2</v>
      </c>
      <c r="E94" s="80">
        <f t="shared" si="19"/>
        <v>-3.3725520256613142E-2</v>
      </c>
      <c r="F94">
        <v>149.57</v>
      </c>
      <c r="G94" s="79">
        <f t="shared" si="20"/>
        <v>2.6676472554656744E-2</v>
      </c>
      <c r="H94" s="79">
        <f t="shared" si="21"/>
        <v>2.313813922132341E-2</v>
      </c>
      <c r="I94" s="79">
        <f t="shared" si="22"/>
        <v>-3.9169680696894534E-2</v>
      </c>
      <c r="J94" s="80">
        <f t="shared" si="23"/>
        <v>4.8686980432109242E-2</v>
      </c>
      <c r="K94">
        <v>312.24</v>
      </c>
      <c r="L94" s="79">
        <f t="shared" si="24"/>
        <v>-7.0778888034845056E-2</v>
      </c>
      <c r="M94" s="79">
        <f t="shared" si="25"/>
        <v>-7.4317221368178393E-2</v>
      </c>
      <c r="N94" s="79">
        <f t="shared" si="26"/>
        <v>-6.0229978579481869E-2</v>
      </c>
      <c r="O94" s="80">
        <f t="shared" si="52"/>
        <v>-2.7708082274805229E-2</v>
      </c>
      <c r="P94">
        <v>493.9</v>
      </c>
      <c r="Q94" s="79">
        <f t="shared" si="27"/>
        <v>2.7940878720388768E-2</v>
      </c>
      <c r="R94" s="79">
        <f t="shared" si="28"/>
        <v>2.4402545387055434E-2</v>
      </c>
      <c r="S94" s="79">
        <f t="shared" si="53"/>
        <v>-2.4954980155895982E-2</v>
      </c>
      <c r="T94" s="80">
        <f t="shared" si="54"/>
        <v>3.8964320379546856E-2</v>
      </c>
      <c r="U94">
        <v>427.14</v>
      </c>
      <c r="V94" s="79">
        <f t="shared" si="29"/>
        <v>-7.6368403802032137E-2</v>
      </c>
      <c r="W94" s="79">
        <f t="shared" si="30"/>
        <v>-7.9906737135365474E-2</v>
      </c>
      <c r="X94" s="79">
        <f t="shared" si="55"/>
        <v>-3.8737761681114903E-2</v>
      </c>
      <c r="Y94" s="80">
        <f t="shared" si="31"/>
        <v>-6.1864976825880845E-2</v>
      </c>
      <c r="Z94" s="249">
        <v>2456.13</v>
      </c>
      <c r="AA94" s="79">
        <f t="shared" si="32"/>
        <v>-0.11558020137370582</v>
      </c>
      <c r="AB94" s="79">
        <f t="shared" si="33"/>
        <v>-0.11911853470703916</v>
      </c>
      <c r="AC94" s="79">
        <f t="shared" si="34"/>
        <v>-3.3894879690567897E-2</v>
      </c>
      <c r="AD94" s="80">
        <f t="shared" si="35"/>
        <v>-9.1349473513524293E-2</v>
      </c>
      <c r="AE94">
        <v>366.98</v>
      </c>
      <c r="AF94" s="79">
        <f t="shared" si="36"/>
        <v>-0.1393808926916999</v>
      </c>
      <c r="AG94" s="79">
        <f t="shared" si="37"/>
        <v>-0.14291922602503324</v>
      </c>
      <c r="AH94" s="79">
        <f t="shared" si="38"/>
        <v>-2.8780718867431391E-2</v>
      </c>
      <c r="AI94" s="80">
        <f t="shared" si="39"/>
        <v>-0.11778986201920855</v>
      </c>
      <c r="AJ94">
        <v>98.32</v>
      </c>
      <c r="AK94" s="79">
        <f t="shared" si="40"/>
        <v>-6.6415785191212245E-2</v>
      </c>
      <c r="AL94" s="79">
        <f t="shared" si="41"/>
        <v>-6.9954118524545583E-2</v>
      </c>
      <c r="AM94" s="79">
        <f t="shared" si="42"/>
        <v>-2.4799898291629548E-2</v>
      </c>
      <c r="AN94" s="80">
        <f t="shared" si="43"/>
        <v>-4.627262664016963E-2</v>
      </c>
      <c r="AO94">
        <v>46.6</v>
      </c>
      <c r="AP94" s="79">
        <f t="shared" si="44"/>
        <v>-3.3261802575107385E-2</v>
      </c>
      <c r="AQ94" s="79">
        <f t="shared" si="45"/>
        <v>-3.6800135908440716E-2</v>
      </c>
      <c r="AR94" s="79">
        <f t="shared" si="46"/>
        <v>-1.555406274594065E-2</v>
      </c>
      <c r="AS94" s="80">
        <f t="shared" si="47"/>
        <v>-2.646609754553933E-2</v>
      </c>
      <c r="AT94" s="178">
        <f t="shared" si="17"/>
        <v>112.95305922578837</v>
      </c>
      <c r="AU94" s="80">
        <f t="shared" si="48"/>
        <v>-4.3880642424019296E-2</v>
      </c>
      <c r="AV94">
        <v>53.23</v>
      </c>
      <c r="AW94" s="79">
        <f t="shared" si="49"/>
        <v>-8.0781514183730935E-3</v>
      </c>
      <c r="AX94" s="79">
        <f t="shared" si="50"/>
        <v>-1.1616484751706426E-2</v>
      </c>
      <c r="AZ94" s="307">
        <f t="shared" si="51"/>
        <v>-2.2109035504906716E-2</v>
      </c>
    </row>
    <row r="95" spans="2:52">
      <c r="B95" s="267">
        <v>44208</v>
      </c>
      <c r="C95">
        <v>84</v>
      </c>
      <c r="D95" s="79">
        <f t="shared" si="18"/>
        <v>-9.690476190476191E-2</v>
      </c>
      <c r="E95" s="80">
        <f t="shared" si="19"/>
        <v>-0.10044309523809525</v>
      </c>
      <c r="F95">
        <v>166.72</v>
      </c>
      <c r="G95" s="79">
        <f t="shared" si="20"/>
        <v>-0.10286708253358928</v>
      </c>
      <c r="H95" s="79">
        <f t="shared" si="21"/>
        <v>-0.10640541586692262</v>
      </c>
      <c r="I95" s="79">
        <f t="shared" si="22"/>
        <v>-0.11665717648677305</v>
      </c>
      <c r="J95" s="80">
        <f t="shared" si="23"/>
        <v>-3.369078866258271E-3</v>
      </c>
      <c r="K95">
        <v>352.26</v>
      </c>
      <c r="L95" s="79">
        <f t="shared" si="24"/>
        <v>-0.11360926588315444</v>
      </c>
      <c r="M95" s="79">
        <f t="shared" si="25"/>
        <v>-0.11714759921648778</v>
      </c>
      <c r="N95" s="79">
        <f t="shared" si="26"/>
        <v>-0.1793800489545026</v>
      </c>
      <c r="O95" s="80">
        <f t="shared" si="52"/>
        <v>4.8611610251906134E-2</v>
      </c>
      <c r="P95">
        <v>555.08000000000004</v>
      </c>
      <c r="Q95" s="79">
        <f t="shared" si="27"/>
        <v>-0.11021834690495075</v>
      </c>
      <c r="R95" s="79">
        <f t="shared" si="28"/>
        <v>-0.11375668023828409</v>
      </c>
      <c r="S95" s="79">
        <f t="shared" si="53"/>
        <v>-7.4322217400691795E-2</v>
      </c>
      <c r="T95" s="80">
        <f t="shared" si="54"/>
        <v>-4.9827668000996847E-2</v>
      </c>
      <c r="U95">
        <v>602.44000000000005</v>
      </c>
      <c r="V95" s="79">
        <f t="shared" si="29"/>
        <v>-0.29098333443994434</v>
      </c>
      <c r="W95" s="79">
        <f t="shared" si="30"/>
        <v>-0.29452166777327765</v>
      </c>
      <c r="X95" s="79">
        <f t="shared" si="55"/>
        <v>-0.11537081285154963</v>
      </c>
      <c r="Y95" s="80">
        <f t="shared" si="31"/>
        <v>-0.19984685629335833</v>
      </c>
      <c r="Z95" s="249">
        <v>2399.23</v>
      </c>
      <c r="AA95" s="79">
        <f t="shared" si="32"/>
        <v>2.3715942198121936E-2</v>
      </c>
      <c r="AB95" s="79">
        <f t="shared" si="33"/>
        <v>2.0177608864788601E-2</v>
      </c>
      <c r="AC95" s="79">
        <f t="shared" si="34"/>
        <v>-0.10094749029634055</v>
      </c>
      <c r="AD95" s="80">
        <f t="shared" si="35"/>
        <v>0.11499928066407612</v>
      </c>
      <c r="AE95">
        <v>415.01</v>
      </c>
      <c r="AF95" s="79">
        <f t="shared" si="36"/>
        <v>-0.11573215103250518</v>
      </c>
      <c r="AG95" s="79">
        <f t="shared" si="37"/>
        <v>-0.11927048436583852</v>
      </c>
      <c r="AH95" s="79">
        <f t="shared" si="38"/>
        <v>-8.5716231038879293E-2</v>
      </c>
      <c r="AI95" s="80">
        <f t="shared" si="39"/>
        <v>-3.7205608188565928E-2</v>
      </c>
      <c r="AJ95">
        <v>116.97</v>
      </c>
      <c r="AK95" s="79">
        <f t="shared" si="40"/>
        <v>-0.15944259211763706</v>
      </c>
      <c r="AL95" s="79">
        <f t="shared" si="41"/>
        <v>-0.1629809254509704</v>
      </c>
      <c r="AM95" s="79">
        <f t="shared" si="42"/>
        <v>-7.3860344541690895E-2</v>
      </c>
      <c r="AN95" s="80">
        <f t="shared" si="43"/>
        <v>-9.0238987316533112E-2</v>
      </c>
      <c r="AO95">
        <v>48.23</v>
      </c>
      <c r="AP95" s="79">
        <f t="shared" si="44"/>
        <v>-3.379639228695823E-2</v>
      </c>
      <c r="AQ95" s="79">
        <f t="shared" si="45"/>
        <v>-3.733472562029156E-2</v>
      </c>
      <c r="AR95" s="79">
        <f t="shared" si="46"/>
        <v>-4.6323917135821777E-2</v>
      </c>
      <c r="AS95" s="80">
        <f t="shared" si="47"/>
        <v>3.7691671324909526E-3</v>
      </c>
      <c r="AT95" s="178">
        <f t="shared" si="17"/>
        <v>118.1369860685121</v>
      </c>
      <c r="AU95" s="80">
        <f t="shared" si="48"/>
        <v>-0.10570969191523613</v>
      </c>
      <c r="AV95">
        <v>53.88</v>
      </c>
      <c r="AW95" s="79">
        <f t="shared" si="49"/>
        <v>-1.2063845582776645E-2</v>
      </c>
      <c r="AX95" s="79">
        <f t="shared" si="50"/>
        <v>-1.5602178916109977E-2</v>
      </c>
      <c r="AZ95" s="307">
        <f t="shared" si="51"/>
        <v>-8.4840916321985274E-2</v>
      </c>
    </row>
    <row r="96" spans="2:52">
      <c r="B96" s="267">
        <v>44207</v>
      </c>
      <c r="C96">
        <v>82.91</v>
      </c>
      <c r="D96" s="79">
        <f t="shared" si="18"/>
        <v>1.3146785671209787E-2</v>
      </c>
      <c r="E96" s="80">
        <f t="shared" si="19"/>
        <v>9.6084523378764542E-3</v>
      </c>
      <c r="F96">
        <v>175.35</v>
      </c>
      <c r="G96" s="79">
        <f t="shared" si="20"/>
        <v>-4.9215854006273145E-2</v>
      </c>
      <c r="H96" s="79">
        <f t="shared" si="21"/>
        <v>-5.2754187339606476E-2</v>
      </c>
      <c r="I96" s="79">
        <f t="shared" si="22"/>
        <v>1.1159501979577354E-2</v>
      </c>
      <c r="J96" s="80">
        <f t="shared" si="23"/>
        <v>-7.7534528805292532E-2</v>
      </c>
      <c r="K96">
        <v>381.59</v>
      </c>
      <c r="L96" s="79">
        <f t="shared" si="24"/>
        <v>-7.6862601221205973E-2</v>
      </c>
      <c r="M96" s="79">
        <f t="shared" si="25"/>
        <v>-8.0400934554539311E-2</v>
      </c>
      <c r="N96" s="79">
        <f t="shared" si="26"/>
        <v>1.7159613079024107E-2</v>
      </c>
      <c r="O96" s="80">
        <f t="shared" si="52"/>
        <v>-0.11118138711967213</v>
      </c>
      <c r="P96">
        <v>527.39</v>
      </c>
      <c r="Q96" s="79">
        <f t="shared" si="27"/>
        <v>5.2503839663247419E-2</v>
      </c>
      <c r="R96" s="79">
        <f t="shared" si="28"/>
        <v>4.8965506329914088E-2</v>
      </c>
      <c r="S96" s="79">
        <f t="shared" si="53"/>
        <v>7.1097120399072778E-3</v>
      </c>
      <c r="T96" s="80">
        <f t="shared" si="54"/>
        <v>3.1462589126602256E-2</v>
      </c>
      <c r="U96">
        <v>641.9</v>
      </c>
      <c r="V96" s="79">
        <f t="shared" si="29"/>
        <v>-6.1473749805265501E-2</v>
      </c>
      <c r="W96" s="79">
        <f t="shared" si="30"/>
        <v>-6.5012083138598839E-2</v>
      </c>
      <c r="X96" s="79">
        <f t="shared" si="55"/>
        <v>1.1036447590931494E-2</v>
      </c>
      <c r="Y96" s="80">
        <f t="shared" si="31"/>
        <v>-9.6744532101160602E-2</v>
      </c>
      <c r="Z96" s="249">
        <v>2101.85</v>
      </c>
      <c r="AA96" s="79">
        <f t="shared" si="32"/>
        <v>0.14148488236553519</v>
      </c>
      <c r="AB96" s="79">
        <f t="shared" si="33"/>
        <v>0.13794654903220185</v>
      </c>
      <c r="AC96" s="79">
        <f t="shared" si="34"/>
        <v>9.6567030998140676E-3</v>
      </c>
      <c r="AD96" s="80">
        <f t="shared" si="35"/>
        <v>0.12216402743533475</v>
      </c>
      <c r="AE96">
        <v>400.61</v>
      </c>
      <c r="AF96" s="79">
        <f t="shared" si="36"/>
        <v>3.5945183595017541E-2</v>
      </c>
      <c r="AG96" s="79">
        <f t="shared" si="37"/>
        <v>3.240685026168421E-2</v>
      </c>
      <c r="AH96" s="79">
        <f t="shared" si="38"/>
        <v>8.1996708541007754E-3</v>
      </c>
      <c r="AI96" s="80">
        <f t="shared" si="39"/>
        <v>2.0555824545976743E-2</v>
      </c>
      <c r="AJ96">
        <v>109.64</v>
      </c>
      <c r="AK96" s="79">
        <f t="shared" si="40"/>
        <v>6.685516234950746E-2</v>
      </c>
      <c r="AL96" s="79">
        <f t="shared" si="41"/>
        <v>6.3316829016174123E-2</v>
      </c>
      <c r="AM96" s="79">
        <f t="shared" si="42"/>
        <v>7.065528979425628E-3</v>
      </c>
      <c r="AN96" s="80">
        <f t="shared" si="43"/>
        <v>5.5132893629494896E-2</v>
      </c>
      <c r="AO96">
        <v>46.88</v>
      </c>
      <c r="AP96" s="79">
        <f t="shared" si="44"/>
        <v>2.8796928327644928E-2</v>
      </c>
      <c r="AQ96" s="79">
        <f t="shared" si="45"/>
        <v>2.5258594994311594E-2</v>
      </c>
      <c r="AR96" s="79">
        <f t="shared" si="46"/>
        <v>4.4313762817463189E-3</v>
      </c>
      <c r="AS96" s="80">
        <f t="shared" si="47"/>
        <v>1.5607194329526015E-2</v>
      </c>
      <c r="AT96" s="178">
        <f t="shared" si="17"/>
        <v>132.10138251583811</v>
      </c>
      <c r="AU96" s="80">
        <f t="shared" si="48"/>
        <v>1.6868410349929919E-2</v>
      </c>
      <c r="AV96">
        <v>54.05</v>
      </c>
      <c r="AW96" s="79">
        <f t="shared" si="49"/>
        <v>-3.145235892691852E-3</v>
      </c>
      <c r="AX96" s="79">
        <f t="shared" si="50"/>
        <v>-6.683569226025185E-3</v>
      </c>
      <c r="AZ96" s="307">
        <f t="shared" si="51"/>
        <v>1.6292021563901637E-2</v>
      </c>
    </row>
    <row r="97" spans="2:52">
      <c r="B97" s="267">
        <v>44206</v>
      </c>
      <c r="C97">
        <v>83.91</v>
      </c>
      <c r="D97" s="79">
        <f t="shared" si="18"/>
        <v>-1.1917530687641521E-2</v>
      </c>
      <c r="E97" s="80">
        <f t="shared" si="19"/>
        <v>-1.5455864020974854E-2</v>
      </c>
      <c r="F97">
        <v>168.62</v>
      </c>
      <c r="G97" s="79">
        <f t="shared" si="20"/>
        <v>3.991222867987184E-2</v>
      </c>
      <c r="H97" s="79">
        <f t="shared" si="21"/>
        <v>3.637389534653851E-2</v>
      </c>
      <c r="I97" s="79">
        <f t="shared" si="22"/>
        <v>-1.7950835272214787E-2</v>
      </c>
      <c r="J97" s="80">
        <f t="shared" si="23"/>
        <v>4.0703891132644596E-2</v>
      </c>
      <c r="K97">
        <v>371.33</v>
      </c>
      <c r="L97" s="79">
        <f t="shared" si="24"/>
        <v>2.7630409608703825E-2</v>
      </c>
      <c r="M97" s="79">
        <f t="shared" si="25"/>
        <v>2.4092076275370491E-2</v>
      </c>
      <c r="N97" s="79">
        <f t="shared" si="26"/>
        <v>-2.7602431388086924E-2</v>
      </c>
      <c r="O97" s="80">
        <f t="shared" si="52"/>
        <v>3.8073668177348717E-2</v>
      </c>
      <c r="P97">
        <v>480.61</v>
      </c>
      <c r="Q97" s="79">
        <f t="shared" si="27"/>
        <v>9.7334637231851123E-2</v>
      </c>
      <c r="R97" s="79">
        <f t="shared" si="28"/>
        <v>9.3796303898517785E-2</v>
      </c>
      <c r="S97" s="79">
        <f t="shared" si="53"/>
        <v>-1.1436466420707718E-2</v>
      </c>
      <c r="T97" s="80">
        <f t="shared" si="54"/>
        <v>9.4839565155820954E-2</v>
      </c>
      <c r="U97">
        <v>690.31</v>
      </c>
      <c r="V97" s="79">
        <f t="shared" si="29"/>
        <v>-7.0127913546087953E-2</v>
      </c>
      <c r="W97" s="79">
        <f t="shared" si="30"/>
        <v>-7.366624687942129E-2</v>
      </c>
      <c r="X97" s="79">
        <f t="shared" si="55"/>
        <v>-1.7752893727498237E-2</v>
      </c>
      <c r="Y97" s="80">
        <f t="shared" si="31"/>
        <v>-7.660935452355333E-2</v>
      </c>
      <c r="Z97" s="249">
        <v>2420.7800000000002</v>
      </c>
      <c r="AA97" s="79">
        <f t="shared" si="32"/>
        <v>-0.13174679235618283</v>
      </c>
      <c r="AB97" s="79">
        <f t="shared" si="33"/>
        <v>-0.13528512568951617</v>
      </c>
      <c r="AC97" s="79">
        <f t="shared" si="34"/>
        <v>-1.5533478728233838E-2</v>
      </c>
      <c r="AD97" s="80">
        <f t="shared" si="35"/>
        <v>-0.12587746545833539</v>
      </c>
      <c r="AE97">
        <v>371.74</v>
      </c>
      <c r="AF97" s="79">
        <f t="shared" si="36"/>
        <v>7.7661806639048814E-2</v>
      </c>
      <c r="AG97" s="79">
        <f t="shared" si="37"/>
        <v>7.4123473305715476E-2</v>
      </c>
      <c r="AH97" s="79">
        <f t="shared" si="38"/>
        <v>-1.3189740998990203E-2</v>
      </c>
      <c r="AI97" s="80">
        <f t="shared" si="39"/>
        <v>8.3661859443098979E-2</v>
      </c>
      <c r="AJ97">
        <v>106.07</v>
      </c>
      <c r="AK97" s="79">
        <f t="shared" si="40"/>
        <v>3.3657018949750234E-2</v>
      </c>
      <c r="AL97" s="79">
        <f t="shared" si="41"/>
        <v>3.0118685616416899E-2</v>
      </c>
      <c r="AM97" s="79">
        <f t="shared" si="42"/>
        <v>-1.1365394894220256E-2</v>
      </c>
      <c r="AN97" s="80">
        <f t="shared" si="43"/>
        <v>4.0365674103383556E-2</v>
      </c>
      <c r="AO97">
        <v>49.81</v>
      </c>
      <c r="AP97" s="79">
        <f t="shared" si="44"/>
        <v>-5.8823529411764698E-2</v>
      </c>
      <c r="AQ97" s="79">
        <f t="shared" si="45"/>
        <v>-6.2361862745098029E-2</v>
      </c>
      <c r="AR97" s="79">
        <f t="shared" si="46"/>
        <v>-7.128177028724406E-3</v>
      </c>
      <c r="AS97" s="80">
        <f t="shared" si="47"/>
        <v>-6.0453710099412881E-2</v>
      </c>
      <c r="AT97" s="178">
        <f t="shared" si="17"/>
        <v>129.9100072057295</v>
      </c>
      <c r="AU97" s="80">
        <f t="shared" si="48"/>
        <v>9.4529831444837859E-3</v>
      </c>
      <c r="AV97">
        <v>54.3</v>
      </c>
      <c r="AW97" s="79">
        <f t="shared" si="49"/>
        <v>-4.6040515653775326E-3</v>
      </c>
      <c r="AX97" s="79">
        <f t="shared" si="50"/>
        <v>-8.1423848987108652E-3</v>
      </c>
      <c r="AZ97" s="307">
        <f t="shared" si="51"/>
        <v>-7.3134791222639883E-3</v>
      </c>
    </row>
    <row r="98" spans="2:52">
      <c r="B98" s="267">
        <v>44205</v>
      </c>
      <c r="C98">
        <v>77.31</v>
      </c>
      <c r="D98" s="79">
        <f t="shared" si="18"/>
        <v>8.5370585952658049E-2</v>
      </c>
      <c r="E98" s="80">
        <f t="shared" si="19"/>
        <v>8.1832252619324711E-2</v>
      </c>
      <c r="F98">
        <v>164.25</v>
      </c>
      <c r="G98" s="79">
        <f t="shared" si="20"/>
        <v>2.6605783866057865E-2</v>
      </c>
      <c r="H98" s="79">
        <f t="shared" si="21"/>
        <v>2.3067450532724531E-2</v>
      </c>
      <c r="I98" s="79">
        <f t="shared" si="22"/>
        <v>9.5042068481598407E-2</v>
      </c>
      <c r="J98" s="80">
        <f t="shared" si="23"/>
        <v>-8.5595457434982578E-2</v>
      </c>
      <c r="K98">
        <v>258.49</v>
      </c>
      <c r="L98" s="79">
        <f t="shared" si="24"/>
        <v>0.43653526248597613</v>
      </c>
      <c r="M98" s="79">
        <f t="shared" si="25"/>
        <v>0.43299692915264282</v>
      </c>
      <c r="N98" s="79">
        <f t="shared" si="26"/>
        <v>0.14614318133183463</v>
      </c>
      <c r="O98" s="80">
        <f t="shared" si="52"/>
        <v>0.27323290833469949</v>
      </c>
      <c r="P98">
        <v>439.36</v>
      </c>
      <c r="Q98" s="79">
        <f t="shared" si="27"/>
        <v>9.388656227239621E-2</v>
      </c>
      <c r="R98" s="79">
        <f t="shared" si="28"/>
        <v>9.0348228939062872E-2</v>
      </c>
      <c r="S98" s="79">
        <f t="shared" si="53"/>
        <v>6.0551245012360665E-2</v>
      </c>
      <c r="T98" s="80">
        <f t="shared" si="54"/>
        <v>1.9403778763297651E-2</v>
      </c>
      <c r="U98">
        <v>610.34</v>
      </c>
      <c r="V98" s="79">
        <f t="shared" si="29"/>
        <v>0.13102533014385409</v>
      </c>
      <c r="W98" s="79">
        <f t="shared" si="30"/>
        <v>0.12748699681052075</v>
      </c>
      <c r="X98" s="79">
        <f t="shared" si="55"/>
        <v>9.3994051853791505E-2</v>
      </c>
      <c r="Y98" s="80">
        <f t="shared" si="31"/>
        <v>1.2796943585098974E-2</v>
      </c>
      <c r="Z98" s="249">
        <v>2373.87</v>
      </c>
      <c r="AA98" s="79">
        <f t="shared" si="32"/>
        <v>1.9760981014124747E-2</v>
      </c>
      <c r="AB98" s="79">
        <f t="shared" si="33"/>
        <v>1.6222647680791413E-2</v>
      </c>
      <c r="AC98" s="79">
        <f t="shared" si="34"/>
        <v>8.2243189615326534E-2</v>
      </c>
      <c r="AD98" s="80">
        <f t="shared" si="35"/>
        <v>-7.2146360431588147E-2</v>
      </c>
      <c r="AE98">
        <v>328.26</v>
      </c>
      <c r="AF98" s="79">
        <f t="shared" si="36"/>
        <v>0.13245598001584116</v>
      </c>
      <c r="AG98" s="79">
        <f t="shared" si="37"/>
        <v>0.12891764668250782</v>
      </c>
      <c r="AH98" s="79">
        <f t="shared" si="38"/>
        <v>6.9834091186883551E-2</v>
      </c>
      <c r="AI98" s="80">
        <f t="shared" si="39"/>
        <v>5.5432200634017575E-2</v>
      </c>
      <c r="AJ98">
        <v>110.31</v>
      </c>
      <c r="AK98" s="79">
        <f t="shared" si="40"/>
        <v>-3.8437131719699112E-2</v>
      </c>
      <c r="AL98" s="79">
        <f t="shared" si="41"/>
        <v>-4.1975465053032443E-2</v>
      </c>
      <c r="AM98" s="79">
        <f t="shared" si="42"/>
        <v>6.0174951386739332E-2</v>
      </c>
      <c r="AN98" s="80">
        <f t="shared" si="43"/>
        <v>-0.10326882284702538</v>
      </c>
      <c r="AO98">
        <v>46.46</v>
      </c>
      <c r="AP98" s="79">
        <f t="shared" si="44"/>
        <v>7.2105036590615609E-2</v>
      </c>
      <c r="AQ98" s="79">
        <f t="shared" si="45"/>
        <v>6.8566703257282272E-2</v>
      </c>
      <c r="AR98" s="79">
        <f t="shared" si="46"/>
        <v>3.7740677747826828E-2</v>
      </c>
      <c r="AS98" s="80">
        <f t="shared" si="47"/>
        <v>2.5606001126416186E-2</v>
      </c>
      <c r="AT98" s="178">
        <f t="shared" si="17"/>
        <v>128.69347000298615</v>
      </c>
      <c r="AU98" s="80">
        <f t="shared" si="48"/>
        <v>7.8487250860873881E-2</v>
      </c>
      <c r="AV98">
        <v>54.64</v>
      </c>
      <c r="AW98" s="79">
        <f t="shared" si="49"/>
        <v>-6.2225475841874711E-3</v>
      </c>
      <c r="AX98" s="79">
        <f t="shared" si="50"/>
        <v>-9.7608809175208037E-3</v>
      </c>
      <c r="AZ98" s="307">
        <f t="shared" si="51"/>
        <v>9.159313353684552E-2</v>
      </c>
    </row>
    <row r="99" spans="2:52">
      <c r="B99" s="267">
        <v>44204</v>
      </c>
      <c r="C99">
        <v>79.709999999999994</v>
      </c>
      <c r="D99" s="79">
        <f t="shared" si="18"/>
        <v>-3.0109145652991991E-2</v>
      </c>
      <c r="E99" s="80">
        <f t="shared" si="19"/>
        <v>-3.3647478986325322E-2</v>
      </c>
      <c r="F99">
        <v>173.54</v>
      </c>
      <c r="G99" s="79">
        <f t="shared" si="20"/>
        <v>-5.3532326841074063E-2</v>
      </c>
      <c r="H99" s="79">
        <f t="shared" si="21"/>
        <v>-5.7070660174407394E-2</v>
      </c>
      <c r="I99" s="79">
        <f t="shared" si="22"/>
        <v>-3.9079041572128048E-2</v>
      </c>
      <c r="J99" s="80">
        <f t="shared" si="23"/>
        <v>-3.1612458088388043E-2</v>
      </c>
      <c r="K99">
        <v>245.24</v>
      </c>
      <c r="L99" s="79">
        <f t="shared" si="24"/>
        <v>5.4028706573152827E-2</v>
      </c>
      <c r="M99" s="79">
        <f t="shared" si="25"/>
        <v>5.0490373239819496E-2</v>
      </c>
      <c r="N99" s="79">
        <f t="shared" si="26"/>
        <v>-6.0090605665380444E-2</v>
      </c>
      <c r="O99" s="80">
        <f t="shared" si="52"/>
        <v>9.6960139419091235E-2</v>
      </c>
      <c r="P99">
        <v>445.36</v>
      </c>
      <c r="Q99" s="79">
        <f t="shared" si="27"/>
        <v>-1.3472247170828094E-2</v>
      </c>
      <c r="R99" s="79">
        <f t="shared" si="28"/>
        <v>-1.7010580504161429E-2</v>
      </c>
      <c r="S99" s="79">
        <f t="shared" si="53"/>
        <v>-2.4897234023692382E-2</v>
      </c>
      <c r="T99" s="80">
        <f t="shared" si="54"/>
        <v>-2.5065516438736064E-3</v>
      </c>
      <c r="U99">
        <v>569.19000000000005</v>
      </c>
      <c r="V99" s="79">
        <f t="shared" si="29"/>
        <v>7.2295718477134133E-2</v>
      </c>
      <c r="W99" s="79">
        <f t="shared" si="30"/>
        <v>6.8757385143800795E-2</v>
      </c>
      <c r="X99" s="79">
        <f t="shared" si="55"/>
        <v>-3.8648122022283897E-2</v>
      </c>
      <c r="Y99" s="80">
        <f t="shared" si="31"/>
        <v>8.6709505794454411E-2</v>
      </c>
      <c r="Z99" s="249">
        <v>2299.67</v>
      </c>
      <c r="AA99" s="79">
        <f t="shared" si="32"/>
        <v>3.2265498962894594E-2</v>
      </c>
      <c r="AB99" s="79">
        <f t="shared" si="33"/>
        <v>2.872716562956126E-2</v>
      </c>
      <c r="AC99" s="79">
        <f t="shared" si="34"/>
        <v>-3.3816446520458801E-2</v>
      </c>
      <c r="AD99" s="80">
        <f t="shared" si="35"/>
        <v>5.6417793652967028E-2</v>
      </c>
      <c r="AE99">
        <v>326.18</v>
      </c>
      <c r="AF99" s="79">
        <f t="shared" si="36"/>
        <v>6.3768471396161135E-3</v>
      </c>
      <c r="AG99" s="79">
        <f t="shared" si="37"/>
        <v>2.8385138062827805E-3</v>
      </c>
      <c r="AH99" s="79">
        <f t="shared" si="38"/>
        <v>-2.8714119928612333E-2</v>
      </c>
      <c r="AI99" s="80">
        <f t="shared" si="39"/>
        <v>2.7901278873288419E-2</v>
      </c>
      <c r="AJ99">
        <v>117.49</v>
      </c>
      <c r="AK99" s="79">
        <f t="shared" si="40"/>
        <v>-6.1111583964592674E-2</v>
      </c>
      <c r="AL99" s="79">
        <f t="shared" si="41"/>
        <v>-6.4649917297926005E-2</v>
      </c>
      <c r="AM99" s="79">
        <f t="shared" si="42"/>
        <v>-2.4742511020774679E-2</v>
      </c>
      <c r="AN99" s="80">
        <f t="shared" si="43"/>
        <v>-4.1025812684404916E-2</v>
      </c>
      <c r="AO99">
        <v>49.37</v>
      </c>
      <c r="AP99" s="79">
        <f t="shared" si="44"/>
        <v>-5.8942677739517862E-2</v>
      </c>
      <c r="AQ99" s="79">
        <f t="shared" si="45"/>
        <v>-6.2481011072851193E-2</v>
      </c>
      <c r="AR99" s="79">
        <f t="shared" si="46"/>
        <v>-1.5518070452698216E-2</v>
      </c>
      <c r="AS99" s="80">
        <f t="shared" si="47"/>
        <v>-5.2182965003192243E-2</v>
      </c>
      <c r="AT99" s="178">
        <f t="shared" si="17"/>
        <v>119.32776201133579</v>
      </c>
      <c r="AU99" s="80">
        <f t="shared" si="48"/>
        <v>-1.4131064033082745E-2</v>
      </c>
      <c r="AV99">
        <v>54.83</v>
      </c>
      <c r="AW99" s="79">
        <f t="shared" si="49"/>
        <v>-3.4652562465802977E-3</v>
      </c>
      <c r="AX99" s="79">
        <f t="shared" si="50"/>
        <v>-7.0035895799136303E-3</v>
      </c>
      <c r="AZ99" s="307">
        <f t="shared" si="51"/>
        <v>-2.6643889406411693E-2</v>
      </c>
    </row>
    <row r="100" spans="2:52">
      <c r="B100" s="267">
        <v>44203</v>
      </c>
      <c r="C100">
        <v>78.11</v>
      </c>
      <c r="D100" s="79">
        <f t="shared" si="18"/>
        <v>2.0483932915119629E-2</v>
      </c>
      <c r="E100" s="80">
        <f t="shared" si="19"/>
        <v>1.6945599581786295E-2</v>
      </c>
      <c r="F100">
        <v>166.38</v>
      </c>
      <c r="G100" s="79">
        <f t="shared" si="20"/>
        <v>4.3034018511840348E-2</v>
      </c>
      <c r="H100" s="79">
        <f t="shared" si="21"/>
        <v>3.9495685178507017E-2</v>
      </c>
      <c r="I100" s="79">
        <f t="shared" si="22"/>
        <v>1.9681052205735659E-2</v>
      </c>
      <c r="J100" s="80">
        <f t="shared" si="23"/>
        <v>6.1937934866626611E-3</v>
      </c>
      <c r="K100">
        <v>229.07</v>
      </c>
      <c r="L100" s="79">
        <f t="shared" si="24"/>
        <v>7.0589776050988859E-2</v>
      </c>
      <c r="M100" s="79">
        <f t="shared" si="25"/>
        <v>6.7051442717655521E-2</v>
      </c>
      <c r="N100" s="79">
        <f t="shared" si="26"/>
        <v>3.0262931218305891E-2</v>
      </c>
      <c r="O100" s="80">
        <f t="shared" si="52"/>
        <v>2.3167672013240933E-2</v>
      </c>
      <c r="P100">
        <v>420.17</v>
      </c>
      <c r="Q100" s="79">
        <f t="shared" si="27"/>
        <v>5.9951924221148575E-2</v>
      </c>
      <c r="R100" s="79">
        <f t="shared" si="28"/>
        <v>5.6413590887815245E-2</v>
      </c>
      <c r="S100" s="79">
        <f t="shared" si="53"/>
        <v>1.2538786594709845E-2</v>
      </c>
      <c r="T100" s="80">
        <f t="shared" si="54"/>
        <v>3.3481599129700834E-2</v>
      </c>
      <c r="U100">
        <v>517.57000000000005</v>
      </c>
      <c r="V100" s="79">
        <f t="shared" si="29"/>
        <v>9.9735301505110424E-2</v>
      </c>
      <c r="W100" s="79">
        <f t="shared" si="30"/>
        <v>9.6196968171777086E-2</v>
      </c>
      <c r="X100" s="79">
        <f t="shared" si="55"/>
        <v>1.9464031782107778E-2</v>
      </c>
      <c r="Y100" s="80">
        <f t="shared" si="31"/>
        <v>5.6036935018039039E-2</v>
      </c>
      <c r="Z100" s="249">
        <v>2178.2600000000002</v>
      </c>
      <c r="AA100" s="79">
        <f t="shared" si="32"/>
        <v>5.5737147998861404E-2</v>
      </c>
      <c r="AB100" s="79">
        <f t="shared" si="33"/>
        <v>5.2198814665528073E-2</v>
      </c>
      <c r="AC100" s="79">
        <f t="shared" si="34"/>
        <v>1.7030695293619905E-2</v>
      </c>
      <c r="AD100" s="80">
        <f t="shared" si="35"/>
        <v>2.904230087485514E-2</v>
      </c>
      <c r="AE100">
        <v>328.19</v>
      </c>
      <c r="AF100" s="79">
        <f t="shared" si="36"/>
        <v>-6.1245010512203024E-3</v>
      </c>
      <c r="AG100" s="79">
        <f t="shared" si="37"/>
        <v>-9.6628343845536358E-3</v>
      </c>
      <c r="AH100" s="79">
        <f t="shared" si="38"/>
        <v>1.4461053050999897E-2</v>
      </c>
      <c r="AI100" s="80">
        <f t="shared" si="39"/>
        <v>-2.7775242297160226E-2</v>
      </c>
      <c r="AJ100">
        <v>121.43</v>
      </c>
      <c r="AK100" s="79">
        <f t="shared" si="40"/>
        <v>-3.2446677097916592E-2</v>
      </c>
      <c r="AL100" s="79">
        <f t="shared" si="41"/>
        <v>-3.5985010431249922E-2</v>
      </c>
      <c r="AM100" s="79">
        <f t="shared" si="42"/>
        <v>1.2460864737485401E-2</v>
      </c>
      <c r="AN100" s="80">
        <f t="shared" si="43"/>
        <v>-4.9564281575988925E-2</v>
      </c>
      <c r="AO100">
        <v>47.52</v>
      </c>
      <c r="AP100" s="79">
        <f t="shared" si="44"/>
        <v>3.8930976430976309E-2</v>
      </c>
      <c r="AQ100" s="79">
        <f t="shared" si="45"/>
        <v>3.5392643097642978E-2</v>
      </c>
      <c r="AR100" s="79">
        <f t="shared" si="46"/>
        <v>7.815236567358998E-3</v>
      </c>
      <c r="AS100" s="80">
        <f t="shared" si="47"/>
        <v>2.2357382147244718E-2</v>
      </c>
      <c r="AT100" s="178">
        <f t="shared" si="17"/>
        <v>121.03816000075294</v>
      </c>
      <c r="AU100" s="80">
        <f t="shared" si="48"/>
        <v>4.0708305045656985E-2</v>
      </c>
      <c r="AV100">
        <v>54.92</v>
      </c>
      <c r="AW100" s="79">
        <f t="shared" si="49"/>
        <v>-1.6387472687546141E-3</v>
      </c>
      <c r="AX100" s="79">
        <f t="shared" si="50"/>
        <v>-5.1770806020879469E-3</v>
      </c>
      <c r="AZ100" s="307">
        <f t="shared" si="51"/>
        <v>2.2122680183874241E-2</v>
      </c>
    </row>
    <row r="101" spans="2:52">
      <c r="B101" s="267">
        <v>44202</v>
      </c>
      <c r="C101">
        <v>77.61</v>
      </c>
      <c r="D101" s="79">
        <f t="shared" si="18"/>
        <v>6.4424687540265433E-3</v>
      </c>
      <c r="E101" s="80">
        <f t="shared" si="19"/>
        <v>2.9041354206932103E-3</v>
      </c>
      <c r="F101">
        <v>172.01</v>
      </c>
      <c r="G101" s="79">
        <f t="shared" si="20"/>
        <v>-3.2730655194465413E-2</v>
      </c>
      <c r="H101" s="79">
        <f t="shared" si="21"/>
        <v>-3.6268988527798744E-2</v>
      </c>
      <c r="I101" s="79">
        <f t="shared" si="22"/>
        <v>3.3729370596377625E-3</v>
      </c>
      <c r="J101" s="80">
        <f t="shared" si="23"/>
        <v>-5.3262765073545201E-2</v>
      </c>
      <c r="K101">
        <v>226.57</v>
      </c>
      <c r="L101" s="79">
        <f t="shared" si="24"/>
        <v>1.1034117491283047E-2</v>
      </c>
      <c r="M101" s="79">
        <f t="shared" si="25"/>
        <v>7.4957841579497142E-3</v>
      </c>
      <c r="N101" s="79">
        <f t="shared" si="26"/>
        <v>5.1864585883139294E-3</v>
      </c>
      <c r="O101" s="80">
        <f t="shared" si="52"/>
        <v>-1.1311513916472914E-2</v>
      </c>
      <c r="P101">
        <v>386.87</v>
      </c>
      <c r="Q101" s="79">
        <f t="shared" si="27"/>
        <v>8.6075425853645957E-2</v>
      </c>
      <c r="R101" s="79">
        <f t="shared" si="28"/>
        <v>8.2537092520312619E-2</v>
      </c>
      <c r="S101" s="79">
        <f t="shared" si="53"/>
        <v>2.1488961843137981E-3</v>
      </c>
      <c r="T101" s="80">
        <f t="shared" si="54"/>
        <v>6.9994991172594265E-2</v>
      </c>
      <c r="U101">
        <v>528.21</v>
      </c>
      <c r="V101" s="79">
        <f t="shared" si="29"/>
        <v>-2.014350353079265E-2</v>
      </c>
      <c r="W101" s="79">
        <f t="shared" si="30"/>
        <v>-2.3681836864125984E-2</v>
      </c>
      <c r="X101" s="79">
        <f t="shared" si="55"/>
        <v>3.3357441178224136E-3</v>
      </c>
      <c r="Y101" s="80">
        <f t="shared" si="31"/>
        <v>-4.7713582353578678E-2</v>
      </c>
      <c r="Z101" s="249">
        <v>2188.09</v>
      </c>
      <c r="AA101" s="79">
        <f t="shared" si="32"/>
        <v>-4.4925025935861531E-3</v>
      </c>
      <c r="AB101" s="79">
        <f t="shared" si="33"/>
        <v>-8.0308359269194857E-3</v>
      </c>
      <c r="AC101" s="79">
        <f t="shared" si="34"/>
        <v>2.9187191165779345E-3</v>
      </c>
      <c r="AD101" s="80">
        <f t="shared" si="35"/>
        <v>-1.7075373540550453E-2</v>
      </c>
      <c r="AE101">
        <v>318.89</v>
      </c>
      <c r="AF101" s="79">
        <f t="shared" si="36"/>
        <v>2.9163661450657002E-2</v>
      </c>
      <c r="AG101" s="79">
        <f t="shared" si="37"/>
        <v>2.5625328117323667E-2</v>
      </c>
      <c r="AH101" s="79">
        <f t="shared" si="38"/>
        <v>2.4783340467381312E-3</v>
      </c>
      <c r="AI101" s="80">
        <f t="shared" si="39"/>
        <v>1.9495639208978843E-2</v>
      </c>
      <c r="AJ101">
        <v>111.81</v>
      </c>
      <c r="AK101" s="79">
        <f t="shared" si="40"/>
        <v>8.6038815848314146E-2</v>
      </c>
      <c r="AL101" s="79">
        <f t="shared" si="41"/>
        <v>8.2500482514980808E-2</v>
      </c>
      <c r="AM101" s="79">
        <f t="shared" si="42"/>
        <v>2.1355419430242224E-3</v>
      </c>
      <c r="AN101" s="80">
        <f t="shared" si="43"/>
        <v>7.9246534164702995E-2</v>
      </c>
      <c r="AO101">
        <v>47.01</v>
      </c>
      <c r="AP101" s="79">
        <f t="shared" si="44"/>
        <v>1.0848755583918424E-2</v>
      </c>
      <c r="AQ101" s="79">
        <f t="shared" si="45"/>
        <v>7.3104222505850913E-3</v>
      </c>
      <c r="AR101" s="79">
        <f t="shared" si="46"/>
        <v>1.3393745808061616E-3</v>
      </c>
      <c r="AS101" s="80">
        <f t="shared" si="47"/>
        <v>7.5102328673966865E-4</v>
      </c>
      <c r="AT101" s="178">
        <f t="shared" si="17"/>
        <v>116.30363610430001</v>
      </c>
      <c r="AU101" s="80">
        <f t="shared" si="48"/>
        <v>1.2911515873740309E-2</v>
      </c>
      <c r="AV101">
        <v>54.81</v>
      </c>
      <c r="AW101" s="79">
        <f t="shared" si="49"/>
        <v>2.0069330414157894E-3</v>
      </c>
      <c r="AX101" s="79">
        <f t="shared" si="50"/>
        <v>-1.5314002919175436E-3</v>
      </c>
      <c r="AZ101" s="307">
        <f t="shared" si="51"/>
        <v>4.4355357126107543E-3</v>
      </c>
    </row>
    <row r="102" spans="2:52">
      <c r="B102" s="267">
        <v>44201</v>
      </c>
      <c r="C102">
        <v>76.69</v>
      </c>
      <c r="D102" s="79">
        <f t="shared" si="18"/>
        <v>1.1996348937279981E-2</v>
      </c>
      <c r="E102" s="80">
        <f t="shared" si="19"/>
        <v>8.4580156039466489E-3</v>
      </c>
      <c r="F102">
        <v>161.15</v>
      </c>
      <c r="G102" s="79">
        <f t="shared" si="20"/>
        <v>6.7390629847967634E-2</v>
      </c>
      <c r="H102" s="79">
        <f t="shared" si="21"/>
        <v>6.3852296514634296E-2</v>
      </c>
      <c r="I102" s="79">
        <f t="shared" si="22"/>
        <v>9.8233553705069556E-3</v>
      </c>
      <c r="J102" s="80">
        <f t="shared" si="23"/>
        <v>4.0408101658018641E-2</v>
      </c>
      <c r="K102">
        <v>208.41</v>
      </c>
      <c r="L102" s="79">
        <f t="shared" si="24"/>
        <v>8.7135933976296709E-2</v>
      </c>
      <c r="M102" s="79">
        <f t="shared" si="25"/>
        <v>8.3597600642963371E-2</v>
      </c>
      <c r="N102" s="79">
        <f t="shared" si="26"/>
        <v>1.510506271732719E-2</v>
      </c>
      <c r="O102" s="80">
        <f t="shared" si="52"/>
        <v>5.487169843952748E-2</v>
      </c>
      <c r="P102">
        <v>369.86</v>
      </c>
      <c r="Q102" s="79">
        <f t="shared" si="27"/>
        <v>4.5990374736386716E-2</v>
      </c>
      <c r="R102" s="79">
        <f t="shared" si="28"/>
        <v>4.2452041403053385E-2</v>
      </c>
      <c r="S102" s="79">
        <f t="shared" si="53"/>
        <v>6.2584538340326751E-3</v>
      </c>
      <c r="T102" s="80">
        <f t="shared" si="54"/>
        <v>2.5800382405616148E-2</v>
      </c>
      <c r="U102">
        <v>502.81</v>
      </c>
      <c r="V102" s="79">
        <f t="shared" si="29"/>
        <v>5.0516099520693768E-2</v>
      </c>
      <c r="W102" s="79">
        <f t="shared" si="30"/>
        <v>4.6977766187360437E-2</v>
      </c>
      <c r="X102" s="79">
        <f t="shared" si="55"/>
        <v>9.7150344981435689E-3</v>
      </c>
      <c r="Y102" s="80">
        <f t="shared" si="31"/>
        <v>1.6566730317586591E-2</v>
      </c>
      <c r="Z102" s="249">
        <v>2361.5500000000002</v>
      </c>
      <c r="AA102" s="79">
        <f t="shared" si="32"/>
        <v>-7.3451758379030729E-2</v>
      </c>
      <c r="AB102" s="79">
        <f t="shared" si="33"/>
        <v>-7.6990091712364067E-2</v>
      </c>
      <c r="AC102" s="79">
        <f t="shared" si="34"/>
        <v>8.5004892181167382E-3</v>
      </c>
      <c r="AD102" s="80">
        <f t="shared" si="35"/>
        <v>-9.1616399427533829E-2</v>
      </c>
      <c r="AE102">
        <v>318.91000000000003</v>
      </c>
      <c r="AF102" s="79">
        <f t="shared" si="36"/>
        <v>-6.271361826232684E-5</v>
      </c>
      <c r="AG102" s="79">
        <f t="shared" si="37"/>
        <v>-3.60104695159566E-3</v>
      </c>
      <c r="AH102" s="79">
        <f t="shared" si="38"/>
        <v>7.2179099809677018E-3</v>
      </c>
      <c r="AI102" s="80">
        <f t="shared" si="39"/>
        <v>-1.4470311794170056E-2</v>
      </c>
      <c r="AJ102">
        <v>113.88</v>
      </c>
      <c r="AK102" s="79">
        <f t="shared" si="40"/>
        <v>-1.8177028451000995E-2</v>
      </c>
      <c r="AL102" s="79">
        <f t="shared" si="41"/>
        <v>-2.1715361784334329E-2</v>
      </c>
      <c r="AM102" s="79">
        <f t="shared" si="42"/>
        <v>6.2195608883383116E-3</v>
      </c>
      <c r="AN102" s="80">
        <f t="shared" si="43"/>
        <v>-2.9053329079926239E-2</v>
      </c>
      <c r="AO102">
        <v>47.34</v>
      </c>
      <c r="AP102" s="79">
        <f t="shared" si="44"/>
        <v>-6.970849176172484E-3</v>
      </c>
      <c r="AQ102" s="79">
        <f t="shared" si="45"/>
        <v>-1.0509182509505817E-2</v>
      </c>
      <c r="AR102" s="79">
        <f t="shared" si="46"/>
        <v>3.9007998811859614E-3</v>
      </c>
      <c r="AS102" s="80">
        <f t="shared" si="47"/>
        <v>-1.9630006773731039E-2</v>
      </c>
      <c r="AT102" s="178">
        <f t="shared" si="17"/>
        <v>114.8211213730512</v>
      </c>
      <c r="AU102" s="80">
        <f t="shared" si="48"/>
        <v>1.8145252948972877E-2</v>
      </c>
      <c r="AV102">
        <v>54.9</v>
      </c>
      <c r="AW102" s="79">
        <f t="shared" si="49"/>
        <v>-1.6393442622950147E-3</v>
      </c>
      <c r="AX102" s="79">
        <f t="shared" si="50"/>
        <v>-5.1776775956283473E-3</v>
      </c>
      <c r="AZ102" s="307">
        <f t="shared" si="51"/>
        <v>1.3635693199574996E-2</v>
      </c>
    </row>
    <row r="103" spans="2:52">
      <c r="B103" s="267">
        <v>44200</v>
      </c>
      <c r="C103">
        <v>78</v>
      </c>
      <c r="D103" s="79">
        <f t="shared" si="18"/>
        <v>-1.6794871794871824E-2</v>
      </c>
      <c r="E103" s="80">
        <f t="shared" si="19"/>
        <v>-2.0333205128205158E-2</v>
      </c>
      <c r="F103">
        <v>173.37</v>
      </c>
      <c r="G103" s="79">
        <f t="shared" si="20"/>
        <v>-7.048508969256502E-2</v>
      </c>
      <c r="H103" s="79">
        <f t="shared" si="21"/>
        <v>-7.4023423025898358E-2</v>
      </c>
      <c r="I103" s="79">
        <f t="shared" si="22"/>
        <v>-2.3615503818953894E-2</v>
      </c>
      <c r="J103" s="80">
        <f t="shared" si="23"/>
        <v>-6.4028758693053162E-2</v>
      </c>
      <c r="K103">
        <v>236.48</v>
      </c>
      <c r="L103" s="79">
        <f t="shared" si="24"/>
        <v>-0.11869925575101486</v>
      </c>
      <c r="M103" s="79">
        <f t="shared" si="25"/>
        <v>-0.1222375890843482</v>
      </c>
      <c r="N103" s="79">
        <f t="shared" si="26"/>
        <v>-3.6312812967914582E-2</v>
      </c>
      <c r="O103" s="80">
        <f t="shared" si="52"/>
        <v>-9.9545615602542326E-2</v>
      </c>
      <c r="P103">
        <v>363.82</v>
      </c>
      <c r="Q103" s="79">
        <f t="shared" si="27"/>
        <v>1.6601616183827224E-2</v>
      </c>
      <c r="R103" s="79">
        <f t="shared" si="28"/>
        <v>1.3063282850493891E-2</v>
      </c>
      <c r="S103" s="79">
        <f t="shared" si="53"/>
        <v>-1.5045423365429762E-2</v>
      </c>
      <c r="T103" s="80">
        <f t="shared" si="54"/>
        <v>1.7715501052519095E-2</v>
      </c>
      <c r="U103">
        <v>513.47</v>
      </c>
      <c r="V103" s="79">
        <f t="shared" si="29"/>
        <v>-2.0760706565135303E-2</v>
      </c>
      <c r="W103" s="79">
        <f t="shared" si="30"/>
        <v>-2.4299039898468638E-2</v>
      </c>
      <c r="X103" s="79">
        <f t="shared" si="55"/>
        <v>-2.3355098704969102E-2</v>
      </c>
      <c r="Y103" s="80">
        <f t="shared" si="31"/>
        <v>-2.1639942565129813E-2</v>
      </c>
      <c r="Z103" s="249">
        <v>2466.08</v>
      </c>
      <c r="AA103" s="79">
        <f t="shared" si="32"/>
        <v>-4.2387108285213679E-2</v>
      </c>
      <c r="AB103" s="79">
        <f t="shared" si="33"/>
        <v>-4.592544161854701E-2</v>
      </c>
      <c r="AC103" s="79">
        <f t="shared" si="34"/>
        <v>-2.0435312377694467E-2</v>
      </c>
      <c r="AD103" s="80">
        <f t="shared" si="35"/>
        <v>-3.1615947737905575E-2</v>
      </c>
      <c r="AE103">
        <v>323.67</v>
      </c>
      <c r="AF103" s="79">
        <f t="shared" si="36"/>
        <v>-1.4706336700960826E-2</v>
      </c>
      <c r="AG103" s="79">
        <f t="shared" si="37"/>
        <v>-1.8244670034294159E-2</v>
      </c>
      <c r="AH103" s="79">
        <f t="shared" si="38"/>
        <v>-1.7351971326637603E-2</v>
      </c>
      <c r="AI103" s="80">
        <f t="shared" si="39"/>
        <v>-4.5440535692632504E-3</v>
      </c>
      <c r="AJ103">
        <v>114.49</v>
      </c>
      <c r="AK103" s="79">
        <f t="shared" si="40"/>
        <v>-5.3279762424665866E-3</v>
      </c>
      <c r="AL103" s="79">
        <f t="shared" si="41"/>
        <v>-8.8663095757999192E-3</v>
      </c>
      <c r="AM103" s="79">
        <f t="shared" si="42"/>
        <v>-1.4951924100368741E-2</v>
      </c>
      <c r="AN103" s="80">
        <f t="shared" si="43"/>
        <v>4.9672081173152225E-3</v>
      </c>
      <c r="AO103">
        <v>46.64</v>
      </c>
      <c r="AP103" s="79">
        <f t="shared" si="44"/>
        <v>1.5008576329331107E-2</v>
      </c>
      <c r="AQ103" s="79">
        <f t="shared" si="45"/>
        <v>1.1470242995997774E-2</v>
      </c>
      <c r="AR103" s="79">
        <f t="shared" si="46"/>
        <v>-9.3775854600247396E-3</v>
      </c>
      <c r="AS103" s="80">
        <f t="shared" si="47"/>
        <v>1.5627804072983253E-2</v>
      </c>
      <c r="AT103" s="178">
        <f t="shared" si="17"/>
        <v>112.77479420591648</v>
      </c>
      <c r="AU103" s="80">
        <f t="shared" si="48"/>
        <v>-2.6039339741152138E-2</v>
      </c>
      <c r="AV103">
        <v>54.81</v>
      </c>
      <c r="AW103" s="79">
        <f t="shared" si="49"/>
        <v>1.642036124794678E-3</v>
      </c>
      <c r="AX103" s="79">
        <f t="shared" si="50"/>
        <v>-1.896297208538655E-3</v>
      </c>
      <c r="AZ103" s="307">
        <f t="shared" si="51"/>
        <v>-1.8436907919666505E-2</v>
      </c>
    </row>
    <row r="104" spans="2:52">
      <c r="B104" s="267">
        <v>44199</v>
      </c>
      <c r="C104">
        <v>74.83</v>
      </c>
      <c r="D104" s="79">
        <f t="shared" si="18"/>
        <v>4.2362688761192056E-2</v>
      </c>
      <c r="E104" s="80">
        <f t="shared" si="19"/>
        <v>3.8824355427858726E-2</v>
      </c>
      <c r="F104">
        <v>154.69999999999999</v>
      </c>
      <c r="G104" s="79">
        <f t="shared" si="20"/>
        <v>0.1206851971557855</v>
      </c>
      <c r="H104" s="79">
        <f t="shared" si="21"/>
        <v>0.11714686382245217</v>
      </c>
      <c r="I104" s="79">
        <f t="shared" si="22"/>
        <v>4.5091598107334561E-2</v>
      </c>
      <c r="J104" s="80">
        <f t="shared" si="23"/>
        <v>5.84344262290089E-2</v>
      </c>
      <c r="K104">
        <v>222.64</v>
      </c>
      <c r="L104" s="79">
        <f t="shared" si="24"/>
        <v>6.2163133309378386E-2</v>
      </c>
      <c r="M104" s="79">
        <f t="shared" si="25"/>
        <v>5.8624799976045056E-2</v>
      </c>
      <c r="N104" s="79">
        <f t="shared" si="26"/>
        <v>6.9335923597015334E-2</v>
      </c>
      <c r="O104" s="80">
        <f t="shared" si="52"/>
        <v>-2.4331963107078976E-2</v>
      </c>
      <c r="P104">
        <v>344.64</v>
      </c>
      <c r="Q104" s="79">
        <f t="shared" si="27"/>
        <v>5.5652274837511631E-2</v>
      </c>
      <c r="R104" s="79">
        <f t="shared" si="28"/>
        <v>5.21139415041783E-2</v>
      </c>
      <c r="S104" s="79">
        <f t="shared" si="53"/>
        <v>2.8727830197895484E-2</v>
      </c>
      <c r="T104" s="80">
        <f t="shared" si="54"/>
        <v>1.2992906142878253E-2</v>
      </c>
      <c r="U104">
        <v>521.66</v>
      </c>
      <c r="V104" s="79">
        <f t="shared" si="29"/>
        <v>-1.5699881148640765E-2</v>
      </c>
      <c r="W104" s="79">
        <f t="shared" si="30"/>
        <v>-1.92382144819741E-2</v>
      </c>
      <c r="X104" s="79">
        <f t="shared" si="55"/>
        <v>4.4594378872254231E-2</v>
      </c>
      <c r="Y104" s="80">
        <f t="shared" si="31"/>
        <v>-8.4528594725858608E-2</v>
      </c>
      <c r="Z104" s="249">
        <v>2329.84</v>
      </c>
      <c r="AA104" s="79">
        <f t="shared" si="32"/>
        <v>5.8476118531744573E-2</v>
      </c>
      <c r="AB104" s="79">
        <f t="shared" si="33"/>
        <v>5.4937785198411242E-2</v>
      </c>
      <c r="AC104" s="79">
        <f t="shared" si="34"/>
        <v>3.9019319680712053E-2</v>
      </c>
      <c r="AD104" s="80">
        <f t="shared" si="35"/>
        <v>9.7926470206461599E-3</v>
      </c>
      <c r="AE104">
        <v>305.25</v>
      </c>
      <c r="AF104" s="79">
        <f t="shared" si="36"/>
        <v>6.0343980343980398E-2</v>
      </c>
      <c r="AG104" s="79">
        <f t="shared" si="37"/>
        <v>5.6805647010647067E-2</v>
      </c>
      <c r="AH104" s="79">
        <f t="shared" si="38"/>
        <v>3.3131968025291753E-2</v>
      </c>
      <c r="AI104" s="80">
        <f t="shared" si="39"/>
        <v>2.0022324123748624E-2</v>
      </c>
      <c r="AJ104">
        <v>109.27</v>
      </c>
      <c r="AK104" s="79">
        <f t="shared" si="40"/>
        <v>4.7771574997712084E-2</v>
      </c>
      <c r="AL104" s="79">
        <f t="shared" si="41"/>
        <v>4.4233241664378753E-2</v>
      </c>
      <c r="AM104" s="79">
        <f t="shared" si="42"/>
        <v>2.8549302087049977E-2</v>
      </c>
      <c r="AN104" s="80">
        <f t="shared" si="43"/>
        <v>1.4565533170075175E-2</v>
      </c>
      <c r="AO104">
        <v>45.28</v>
      </c>
      <c r="AP104" s="79">
        <f t="shared" si="44"/>
        <v>3.0035335689045924E-2</v>
      </c>
      <c r="AQ104" s="79">
        <f t="shared" si="45"/>
        <v>2.649700235571259E-2</v>
      </c>
      <c r="AR104" s="79">
        <f t="shared" si="46"/>
        <v>1.790562327284495E-2</v>
      </c>
      <c r="AS104" s="80">
        <f t="shared" si="47"/>
        <v>3.3713546998283793E-3</v>
      </c>
      <c r="AT104" s="178">
        <f t="shared" si="17"/>
        <v>115.78988639638126</v>
      </c>
      <c r="AU104" s="80">
        <f t="shared" si="48"/>
        <v>5.717951493844016E-2</v>
      </c>
      <c r="AV104">
        <v>54.68</v>
      </c>
      <c r="AW104" s="79">
        <f t="shared" si="49"/>
        <v>2.3774689100219929E-3</v>
      </c>
      <c r="AX104" s="79">
        <f t="shared" si="50"/>
        <v>-1.1608644233113401E-3</v>
      </c>
      <c r="AZ104" s="307">
        <f t="shared" si="51"/>
        <v>3.9985219851170067E-2</v>
      </c>
    </row>
    <row r="105" spans="2:52">
      <c r="B105" s="267">
        <v>44198</v>
      </c>
      <c r="C105">
        <v>72.260000000000005</v>
      </c>
      <c r="D105" s="79">
        <f t="shared" si="18"/>
        <v>3.5566011624688525E-2</v>
      </c>
      <c r="E105" s="80">
        <f t="shared" si="19"/>
        <v>3.2027678291355194E-2</v>
      </c>
      <c r="F105">
        <v>154.65</v>
      </c>
      <c r="G105" s="79">
        <f t="shared" si="20"/>
        <v>3.2331070158411214E-4</v>
      </c>
      <c r="H105" s="79">
        <f t="shared" si="21"/>
        <v>-3.2150226317492208E-3</v>
      </c>
      <c r="I105" s="79">
        <f t="shared" si="22"/>
        <v>3.7197763669464805E-2</v>
      </c>
      <c r="J105" s="80">
        <f t="shared" si="23"/>
        <v>-5.4033625787322723E-2</v>
      </c>
      <c r="K105">
        <v>225.17</v>
      </c>
      <c r="L105" s="79">
        <f t="shared" si="24"/>
        <v>-1.123595505617978E-2</v>
      </c>
      <c r="M105" s="79">
        <f t="shared" si="25"/>
        <v>-1.4774288389513113E-2</v>
      </c>
      <c r="N105" s="79">
        <f t="shared" si="26"/>
        <v>5.7197824162863807E-2</v>
      </c>
      <c r="O105" s="80">
        <f t="shared" si="52"/>
        <v>-8.5592952038485617E-2</v>
      </c>
      <c r="P105">
        <v>323.64</v>
      </c>
      <c r="Q105" s="79">
        <f t="shared" si="27"/>
        <v>6.4886911383018164E-2</v>
      </c>
      <c r="R105" s="79">
        <f t="shared" si="28"/>
        <v>6.1348578049684833E-2</v>
      </c>
      <c r="S105" s="79">
        <f t="shared" si="53"/>
        <v>2.3698672996555675E-2</v>
      </c>
      <c r="T105" s="80">
        <f t="shared" si="54"/>
        <v>2.7256699889724595E-2</v>
      </c>
      <c r="U105">
        <v>538.85</v>
      </c>
      <c r="V105" s="79">
        <f t="shared" si="29"/>
        <v>-3.1901271225758657E-2</v>
      </c>
      <c r="W105" s="79">
        <f t="shared" si="30"/>
        <v>-3.5439604559091988E-2</v>
      </c>
      <c r="X105" s="79">
        <f t="shared" si="55"/>
        <v>3.6787588728350404E-2</v>
      </c>
      <c r="Y105" s="80">
        <f t="shared" si="31"/>
        <v>-9.2923194659072672E-2</v>
      </c>
      <c r="Z105" s="249">
        <v>2328.5100000000002</v>
      </c>
      <c r="AA105" s="79">
        <f t="shared" si="32"/>
        <v>5.7118071212918441E-4</v>
      </c>
      <c r="AB105" s="79">
        <f t="shared" si="33"/>
        <v>-2.9671526212041487E-3</v>
      </c>
      <c r="AC105" s="79">
        <f t="shared" si="34"/>
        <v>3.2188511672872719E-2</v>
      </c>
      <c r="AD105" s="80">
        <f t="shared" si="35"/>
        <v>-4.1281482791129899E-2</v>
      </c>
      <c r="AE105">
        <v>258.33999999999997</v>
      </c>
      <c r="AF105" s="79">
        <f t="shared" si="36"/>
        <v>0.1815824107764962</v>
      </c>
      <c r="AG105" s="79">
        <f t="shared" si="37"/>
        <v>0.17804407744316286</v>
      </c>
      <c r="AH105" s="79">
        <f t="shared" si="38"/>
        <v>2.7331812759783296E-2</v>
      </c>
      <c r="AI105" s="80">
        <f t="shared" si="39"/>
        <v>0.14706090982177286</v>
      </c>
      <c r="AJ105">
        <v>108.03</v>
      </c>
      <c r="AK105" s="79">
        <f t="shared" si="40"/>
        <v>1.1478293066740673E-2</v>
      </c>
      <c r="AL105" s="79">
        <f t="shared" si="41"/>
        <v>7.93995973340734E-3</v>
      </c>
      <c r="AM105" s="79">
        <f t="shared" si="42"/>
        <v>2.3551398409840441E-2</v>
      </c>
      <c r="AN105" s="80">
        <f t="shared" si="43"/>
        <v>-1.67298450836867E-2</v>
      </c>
      <c r="AO105">
        <v>43.31</v>
      </c>
      <c r="AP105" s="79">
        <f t="shared" si="44"/>
        <v>4.548603093973675E-2</v>
      </c>
      <c r="AQ105" s="79">
        <f t="shared" si="45"/>
        <v>4.194769760640342E-2</v>
      </c>
      <c r="AR105" s="79">
        <f t="shared" si="46"/>
        <v>1.4771025441864222E-2</v>
      </c>
      <c r="AS105" s="80">
        <f t="shared" si="47"/>
        <v>2.1956647781499933E-2</v>
      </c>
      <c r="AT105" s="178">
        <f t="shared" si="17"/>
        <v>109.52717562175212</v>
      </c>
      <c r="AU105" s="80">
        <f t="shared" si="48"/>
        <v>4.3934080913761178E-2</v>
      </c>
      <c r="AV105">
        <v>54.87</v>
      </c>
      <c r="AW105" s="79">
        <f t="shared" si="49"/>
        <v>-3.4627300893019454E-3</v>
      </c>
      <c r="AX105" s="79">
        <f t="shared" si="50"/>
        <v>-7.0010634226352784E-3</v>
      </c>
      <c r="AZ105" s="307">
        <f t="shared" si="51"/>
        <v>3.902874171399047E-2</v>
      </c>
    </row>
    <row r="106" spans="2:52">
      <c r="B106" s="267">
        <v>44197</v>
      </c>
      <c r="C106">
        <v>68.94</v>
      </c>
      <c r="D106" s="79">
        <f t="shared" si="18"/>
        <v>4.8157818392805446E-2</v>
      </c>
      <c r="E106" s="80">
        <f t="shared" si="19"/>
        <v>4.4619485059472115E-2</v>
      </c>
      <c r="F106">
        <v>160.31</v>
      </c>
      <c r="G106" s="79">
        <f t="shared" si="20"/>
        <v>-3.5306593475141888E-2</v>
      </c>
      <c r="H106" s="79">
        <f t="shared" si="21"/>
        <v>-3.8844926808475219E-2</v>
      </c>
      <c r="I106" s="79">
        <f t="shared" si="22"/>
        <v>5.1822209689906008E-2</v>
      </c>
      <c r="J106" s="80">
        <f t="shared" si="23"/>
        <v>-0.10428797598448993</v>
      </c>
      <c r="K106">
        <v>264.51</v>
      </c>
      <c r="L106" s="79">
        <f t="shared" si="24"/>
        <v>-0.14872783637669656</v>
      </c>
      <c r="M106" s="79">
        <f t="shared" si="25"/>
        <v>-0.1522661697100299</v>
      </c>
      <c r="N106" s="79">
        <f t="shared" si="26"/>
        <v>7.9685372053898737E-2</v>
      </c>
      <c r="O106" s="80">
        <f t="shared" si="52"/>
        <v>-0.24557238125003733</v>
      </c>
      <c r="P106">
        <v>344.59</v>
      </c>
      <c r="Q106" s="79">
        <f t="shared" si="27"/>
        <v>-6.0796889056559944E-2</v>
      </c>
      <c r="R106" s="79">
        <f t="shared" si="28"/>
        <v>-6.4335222389893282E-2</v>
      </c>
      <c r="S106" s="79">
        <f t="shared" si="53"/>
        <v>3.3015898813513037E-2</v>
      </c>
      <c r="T106" s="80">
        <f t="shared" si="54"/>
        <v>-0.10774432636681087</v>
      </c>
      <c r="U106">
        <v>532.39</v>
      </c>
      <c r="V106" s="79">
        <f t="shared" si="29"/>
        <v>1.2133961945190624E-2</v>
      </c>
      <c r="W106" s="79">
        <f t="shared" si="30"/>
        <v>8.5956286118572915E-3</v>
      </c>
      <c r="X106" s="79">
        <f t="shared" si="55"/>
        <v>5.1250772869218204E-2</v>
      </c>
      <c r="Y106" s="80">
        <f t="shared" si="31"/>
        <v>-6.335114562899119E-2</v>
      </c>
      <c r="Z106" s="249">
        <v>1944.33</v>
      </c>
      <c r="AA106" s="79">
        <f t="shared" si="32"/>
        <v>0.19758991529215736</v>
      </c>
      <c r="AB106" s="79">
        <f t="shared" si="33"/>
        <v>0.19405158195882402</v>
      </c>
      <c r="AC106" s="79">
        <f t="shared" si="34"/>
        <v>4.4843550712886107E-2</v>
      </c>
      <c r="AD106" s="80">
        <f t="shared" si="35"/>
        <v>0.14308221274888488</v>
      </c>
      <c r="AE106">
        <v>270.82</v>
      </c>
      <c r="AF106" s="79">
        <f t="shared" si="36"/>
        <v>-4.6082268665534373E-2</v>
      </c>
      <c r="AG106" s="79">
        <f t="shared" si="37"/>
        <v>-4.9620601998867704E-2</v>
      </c>
      <c r="AH106" s="79">
        <f t="shared" si="38"/>
        <v>3.8077421659771453E-2</v>
      </c>
      <c r="AI106" s="80">
        <f t="shared" si="39"/>
        <v>-9.1349378520245855E-2</v>
      </c>
      <c r="AJ106">
        <v>96.81</v>
      </c>
      <c r="AK106" s="79">
        <f t="shared" si="40"/>
        <v>0.11589711806631545</v>
      </c>
      <c r="AL106" s="79">
        <f t="shared" si="41"/>
        <v>0.11235878473298211</v>
      </c>
      <c r="AM106" s="79">
        <f t="shared" si="42"/>
        <v>3.2810722648016398E-2</v>
      </c>
      <c r="AN106" s="80">
        <f t="shared" si="43"/>
        <v>7.8429655677712123E-2</v>
      </c>
      <c r="AO106">
        <v>46.83</v>
      </c>
      <c r="AP106" s="79">
        <f t="shared" si="44"/>
        <v>-7.5165492205850865E-2</v>
      </c>
      <c r="AQ106" s="79">
        <f t="shared" si="45"/>
        <v>-7.8703825539184202E-2</v>
      </c>
      <c r="AR106" s="79">
        <f t="shared" si="46"/>
        <v>2.0578311765865297E-2</v>
      </c>
      <c r="AS106" s="80">
        <f t="shared" si="47"/>
        <v>-0.10450216168808876</v>
      </c>
      <c r="AT106" s="178">
        <f t="shared" si="17"/>
        <v>104.91771235774043</v>
      </c>
      <c r="AU106" s="80">
        <f t="shared" si="48"/>
        <v>-1.8478443528085597E-2</v>
      </c>
      <c r="AV106">
        <v>55.12</v>
      </c>
      <c r="AW106" s="79">
        <f t="shared" si="49"/>
        <v>-4.5355587808417995E-3</v>
      </c>
      <c r="AX106" s="79">
        <f t="shared" si="50"/>
        <v>-8.0738921141751321E-3</v>
      </c>
      <c r="AZ106" s="307">
        <f t="shared" si="51"/>
        <v>5.2693377173647249E-2</v>
      </c>
    </row>
    <row r="107" spans="2:52">
      <c r="B107" s="267">
        <v>43842</v>
      </c>
      <c r="C107">
        <v>70.5</v>
      </c>
      <c r="D107" s="79">
        <f t="shared" si="18"/>
        <v>-2.2127659574468116E-2</v>
      </c>
      <c r="E107" s="80">
        <f t="shared" si="19"/>
        <v>-2.5665992907801451E-2</v>
      </c>
      <c r="F107">
        <v>162.85</v>
      </c>
      <c r="G107" s="79">
        <f t="shared" si="20"/>
        <v>-1.5597175314706738E-2</v>
      </c>
      <c r="H107" s="79">
        <f t="shared" si="21"/>
        <v>-1.9135508648040072E-2</v>
      </c>
      <c r="I107" s="79">
        <f t="shared" si="22"/>
        <v>-2.9809139764721954E-2</v>
      </c>
      <c r="J107" s="80">
        <f t="shared" si="23"/>
        <v>-2.9472083694268188E-3</v>
      </c>
      <c r="K107">
        <v>235.22</v>
      </c>
      <c r="L107" s="79">
        <f t="shared" si="24"/>
        <v>0.12452172434316806</v>
      </c>
      <c r="M107" s="79">
        <f t="shared" si="25"/>
        <v>0.12098339100983473</v>
      </c>
      <c r="N107" s="79">
        <f t="shared" si="26"/>
        <v>-4.583657097935772E-2</v>
      </c>
      <c r="O107" s="80">
        <f t="shared" si="52"/>
        <v>0.15319912250308373</v>
      </c>
      <c r="P107">
        <v>368.4</v>
      </c>
      <c r="Q107" s="79">
        <f t="shared" si="27"/>
        <v>-6.4630836047774171E-2</v>
      </c>
      <c r="R107" s="79">
        <f t="shared" si="28"/>
        <v>-6.8169169381107508E-2</v>
      </c>
      <c r="S107" s="79">
        <f t="shared" si="53"/>
        <v>-1.8991385123850221E-2</v>
      </c>
      <c r="T107" s="80">
        <f t="shared" si="54"/>
        <v>-5.9570989420661843E-2</v>
      </c>
      <c r="U107">
        <v>540.73</v>
      </c>
      <c r="V107" s="79">
        <f t="shared" si="29"/>
        <v>-1.5423594030292441E-2</v>
      </c>
      <c r="W107" s="79">
        <f t="shared" si="30"/>
        <v>-1.8961927363625775E-2</v>
      </c>
      <c r="X107" s="79">
        <f t="shared" si="55"/>
        <v>-2.9480438226201701E-2</v>
      </c>
      <c r="Y107" s="80">
        <f t="shared" si="31"/>
        <v>-1.0177490509054352E-2</v>
      </c>
      <c r="Z107" s="249">
        <v>2227.27</v>
      </c>
      <c r="AA107" s="79">
        <f t="shared" si="32"/>
        <v>-0.1270344412666628</v>
      </c>
      <c r="AB107" s="79">
        <f t="shared" si="33"/>
        <v>-0.13057277459999614</v>
      </c>
      <c r="AC107" s="79">
        <f t="shared" si="34"/>
        <v>-2.5794879815925563E-2</v>
      </c>
      <c r="AD107" s="80">
        <f t="shared" si="35"/>
        <v>-0.11090371328112361</v>
      </c>
      <c r="AE107">
        <v>265.62</v>
      </c>
      <c r="AF107" s="79">
        <f t="shared" si="36"/>
        <v>1.9576839093441715E-2</v>
      </c>
      <c r="AG107" s="79">
        <f t="shared" si="37"/>
        <v>1.6038505760108381E-2</v>
      </c>
      <c r="AH107" s="79">
        <f t="shared" si="38"/>
        <v>-2.1902871199980217E-2</v>
      </c>
      <c r="AI107" s="80">
        <f t="shared" si="39"/>
        <v>3.4290022098481907E-2</v>
      </c>
      <c r="AJ107">
        <v>106.98</v>
      </c>
      <c r="AK107" s="79">
        <f t="shared" si="40"/>
        <v>-9.5064498037016276E-2</v>
      </c>
      <c r="AL107" s="79">
        <f t="shared" si="41"/>
        <v>-9.8602831370349614E-2</v>
      </c>
      <c r="AM107" s="79">
        <f t="shared" si="42"/>
        <v>-1.8873363815413612E-2</v>
      </c>
      <c r="AN107" s="80">
        <f t="shared" si="43"/>
        <v>-8.0847873962189593E-2</v>
      </c>
      <c r="AO107">
        <v>48.05</v>
      </c>
      <c r="AP107" s="79">
        <f t="shared" si="44"/>
        <v>-2.5390218522372505E-2</v>
      </c>
      <c r="AQ107" s="79">
        <f t="shared" si="45"/>
        <v>-2.892855185570584E-2</v>
      </c>
      <c r="AR107" s="79">
        <f t="shared" si="46"/>
        <v>-1.1837043908804681E-2</v>
      </c>
      <c r="AS107" s="80">
        <f t="shared" si="47"/>
        <v>-2.2311532329940417E-2</v>
      </c>
      <c r="AT107" s="178">
        <f t="shared" si="17"/>
        <v>106.89292727799868</v>
      </c>
      <c r="AU107" s="80">
        <f t="shared" si="48"/>
        <v>-3.672951134031617E-2</v>
      </c>
      <c r="AV107">
        <v>55.17</v>
      </c>
      <c r="AW107" s="79">
        <f t="shared" si="49"/>
        <v>-9.0628965017227226E-4</v>
      </c>
      <c r="AX107" s="79">
        <f t="shared" si="50"/>
        <v>-4.4446229835056056E-3</v>
      </c>
      <c r="AZ107" s="307">
        <f t="shared" si="51"/>
        <v>-2.1221369924295845E-2</v>
      </c>
    </row>
    <row r="108" spans="2:52">
      <c r="B108" s="267">
        <v>43841</v>
      </c>
      <c r="C108">
        <v>68.38</v>
      </c>
      <c r="D108" s="79">
        <f t="shared" si="18"/>
        <v>3.1003217315004456E-2</v>
      </c>
      <c r="E108" s="80">
        <f t="shared" si="19"/>
        <v>2.7464883981671122E-2</v>
      </c>
      <c r="F108">
        <v>158.4</v>
      </c>
      <c r="G108" s="79">
        <f t="shared" si="20"/>
        <v>2.8093434343434271E-2</v>
      </c>
      <c r="H108" s="79">
        <f t="shared" si="21"/>
        <v>2.4555101010100937E-2</v>
      </c>
      <c r="I108" s="79">
        <f t="shared" si="22"/>
        <v>3.1898417808050347E-2</v>
      </c>
      <c r="J108" s="80">
        <f t="shared" si="23"/>
        <v>-2.0964156284058108E-2</v>
      </c>
      <c r="K108">
        <v>189.2</v>
      </c>
      <c r="L108" s="79">
        <f t="shared" si="24"/>
        <v>0.24323467230443982</v>
      </c>
      <c r="M108" s="79">
        <f t="shared" si="25"/>
        <v>0.23969633897110648</v>
      </c>
      <c r="N108" s="79">
        <f t="shared" si="26"/>
        <v>4.9049187716522689E-2</v>
      </c>
      <c r="O108" s="80">
        <f t="shared" si="52"/>
        <v>0.17702631176847508</v>
      </c>
      <c r="P108">
        <v>373.28</v>
      </c>
      <c r="Q108" s="79">
        <f t="shared" si="27"/>
        <v>-1.3073296185169298E-2</v>
      </c>
      <c r="R108" s="79">
        <f t="shared" si="28"/>
        <v>-1.6611629518502632E-2</v>
      </c>
      <c r="S108" s="79">
        <f t="shared" si="53"/>
        <v>2.0322462916259769E-2</v>
      </c>
      <c r="T108" s="80">
        <f t="shared" si="54"/>
        <v>-4.7327297598166965E-2</v>
      </c>
      <c r="U108">
        <v>490.7</v>
      </c>
      <c r="V108" s="79">
        <f t="shared" si="29"/>
        <v>0.10195638883228048</v>
      </c>
      <c r="W108" s="79">
        <f t="shared" si="30"/>
        <v>9.8418055498947138E-2</v>
      </c>
      <c r="X108" s="79">
        <f t="shared" si="55"/>
        <v>3.1546678070083246E-2</v>
      </c>
      <c r="Y108" s="80">
        <f t="shared" si="31"/>
        <v>4.6175376057233618E-2</v>
      </c>
      <c r="Z108" s="249">
        <v>2028.45</v>
      </c>
      <c r="AA108" s="79">
        <f t="shared" si="32"/>
        <v>9.8015726293475283E-2</v>
      </c>
      <c r="AB108" s="79">
        <f t="shared" si="33"/>
        <v>9.4477392960141945E-2</v>
      </c>
      <c r="AC108" s="79">
        <f t="shared" si="34"/>
        <v>2.760280438050787E-2</v>
      </c>
      <c r="AD108" s="80">
        <f t="shared" si="35"/>
        <v>6.0748770082581047E-2</v>
      </c>
      <c r="AE108">
        <v>277.41000000000003</v>
      </c>
      <c r="AF108" s="79">
        <f t="shared" si="36"/>
        <v>-4.2500270357953999E-2</v>
      </c>
      <c r="AG108" s="79">
        <f t="shared" si="37"/>
        <v>-4.603860369128733E-2</v>
      </c>
      <c r="AH108" s="79">
        <f t="shared" si="38"/>
        <v>2.3438010698977944E-2</v>
      </c>
      <c r="AI108" s="80">
        <f t="shared" si="39"/>
        <v>-7.3127969251871969E-2</v>
      </c>
      <c r="AJ108">
        <v>98.02</v>
      </c>
      <c r="AK108" s="79">
        <f t="shared" si="40"/>
        <v>9.1409916343603431E-2</v>
      </c>
      <c r="AL108" s="79">
        <f t="shared" si="41"/>
        <v>8.7871583010270093E-2</v>
      </c>
      <c r="AM108" s="79">
        <f t="shared" si="42"/>
        <v>2.0196169670749237E-2</v>
      </c>
      <c r="AN108" s="80">
        <f t="shared" si="43"/>
        <v>6.6557006932267265E-2</v>
      </c>
      <c r="AO108">
        <v>50.93</v>
      </c>
      <c r="AP108" s="79">
        <f t="shared" si="44"/>
        <v>-5.6548203416454008E-2</v>
      </c>
      <c r="AQ108" s="79">
        <f t="shared" si="45"/>
        <v>-6.0086536749787339E-2</v>
      </c>
      <c r="AR108" s="79">
        <f t="shared" si="46"/>
        <v>1.2666684620739877E-2</v>
      </c>
      <c r="AS108" s="80">
        <f t="shared" si="47"/>
        <v>-7.797324575356647E-2</v>
      </c>
      <c r="AT108" s="178">
        <f t="shared" si="17"/>
        <v>110.96875543932826</v>
      </c>
      <c r="AU108" s="80">
        <f t="shared" si="48"/>
        <v>1.3851814996185522E-2</v>
      </c>
      <c r="AV108">
        <v>55.14</v>
      </c>
      <c r="AW108" s="79">
        <f t="shared" si="49"/>
        <v>5.4406964091405761E-4</v>
      </c>
      <c r="AX108" s="79">
        <f t="shared" si="50"/>
        <v>-2.9942636924192752E-3</v>
      </c>
      <c r="AZ108" s="307">
        <f t="shared" si="51"/>
        <v>3.0459147674090397E-2</v>
      </c>
    </row>
    <row r="109" spans="2:52">
      <c r="B109" s="267">
        <v>43840</v>
      </c>
      <c r="C109">
        <v>60.62</v>
      </c>
      <c r="D109" s="79">
        <f t="shared" si="18"/>
        <v>0.12801055757175847</v>
      </c>
      <c r="E109" s="80">
        <f t="shared" si="19"/>
        <v>0.12447222423842513</v>
      </c>
      <c r="F109">
        <v>151.81</v>
      </c>
      <c r="G109" s="79">
        <f t="shared" si="20"/>
        <v>4.3409525064225039E-2</v>
      </c>
      <c r="H109" s="79">
        <f t="shared" si="21"/>
        <v>3.9871191730891709E-2</v>
      </c>
      <c r="I109" s="79">
        <f t="shared" si="22"/>
        <v>0.14456522069797689</v>
      </c>
      <c r="J109" s="80">
        <f t="shared" si="23"/>
        <v>-0.11831486845319389</v>
      </c>
      <c r="K109">
        <v>129.35</v>
      </c>
      <c r="L109" s="79">
        <f t="shared" si="24"/>
        <v>0.46269810591418631</v>
      </c>
      <c r="M109" s="79">
        <f t="shared" si="25"/>
        <v>0.459159772580853</v>
      </c>
      <c r="N109" s="79">
        <f t="shared" si="26"/>
        <v>0.22229336545670492</v>
      </c>
      <c r="O109" s="80">
        <f t="shared" si="52"/>
        <v>0.22324556763803938</v>
      </c>
      <c r="P109">
        <v>340.74</v>
      </c>
      <c r="Q109" s="79">
        <f t="shared" si="27"/>
        <v>9.5498033691377479E-2</v>
      </c>
      <c r="R109" s="79">
        <f t="shared" si="28"/>
        <v>9.1959700358044141E-2</v>
      </c>
      <c r="S109" s="79">
        <f t="shared" si="53"/>
        <v>9.2102415683892894E-2</v>
      </c>
      <c r="T109" s="80">
        <f t="shared" si="54"/>
        <v>-1.0535920489253309E-2</v>
      </c>
      <c r="U109">
        <v>475.74</v>
      </c>
      <c r="V109" s="79">
        <f t="shared" si="29"/>
        <v>3.1445747677302682E-2</v>
      </c>
      <c r="W109" s="79">
        <f t="shared" si="30"/>
        <v>2.7907414343969348E-2</v>
      </c>
      <c r="X109" s="79">
        <f t="shared" si="55"/>
        <v>0.14297111865964227</v>
      </c>
      <c r="Y109" s="80">
        <f t="shared" si="31"/>
        <v>-0.13575970568730319</v>
      </c>
      <c r="Z109" s="249">
        <v>1622.5</v>
      </c>
      <c r="AA109" s="79">
        <f t="shared" si="32"/>
        <v>0.25020030816640987</v>
      </c>
      <c r="AB109" s="79">
        <f t="shared" si="33"/>
        <v>0.24666197483307653</v>
      </c>
      <c r="AC109" s="79">
        <f t="shared" si="34"/>
        <v>0.12509728636584999</v>
      </c>
      <c r="AD109" s="80">
        <f t="shared" si="35"/>
        <v>0.1154388699701735</v>
      </c>
      <c r="AE109">
        <v>266.70999999999998</v>
      </c>
      <c r="AF109" s="79">
        <f t="shared" si="36"/>
        <v>4.0118480746878807E-2</v>
      </c>
      <c r="AG109" s="79">
        <f t="shared" si="37"/>
        <v>3.6580147413545476E-2</v>
      </c>
      <c r="AH109" s="79">
        <f t="shared" si="38"/>
        <v>0.10622223364834617</v>
      </c>
      <c r="AI109" s="80">
        <f t="shared" si="39"/>
        <v>-7.3293441096407383E-2</v>
      </c>
      <c r="AJ109">
        <v>86.96</v>
      </c>
      <c r="AK109" s="79">
        <f t="shared" si="40"/>
        <v>0.1271849126034959</v>
      </c>
      <c r="AL109" s="79">
        <f t="shared" si="41"/>
        <v>0.12364657927016257</v>
      </c>
      <c r="AM109" s="79">
        <f t="shared" si="42"/>
        <v>9.153004839534086E-2</v>
      </c>
      <c r="AN109" s="80">
        <f t="shared" si="43"/>
        <v>3.0998124467568111E-2</v>
      </c>
      <c r="AO109">
        <v>46.25</v>
      </c>
      <c r="AP109" s="79">
        <f t="shared" si="44"/>
        <v>0.10118918918918918</v>
      </c>
      <c r="AQ109" s="79">
        <f t="shared" si="45"/>
        <v>9.7650855855855839E-2</v>
      </c>
      <c r="AR109" s="79">
        <f t="shared" si="46"/>
        <v>5.740604655465989E-2</v>
      </c>
      <c r="AS109" s="80">
        <f t="shared" si="47"/>
        <v>3.5024784918156693E-2</v>
      </c>
      <c r="AT109" s="178">
        <f t="shared" si="17"/>
        <v>109.4526377503657</v>
      </c>
      <c r="AU109" s="80">
        <f t="shared" si="48"/>
        <v>9.2040396943464858E-2</v>
      </c>
      <c r="AV109">
        <v>54.89</v>
      </c>
      <c r="AW109" s="79">
        <f t="shared" si="49"/>
        <v>4.5545636728001456E-3</v>
      </c>
      <c r="AX109" s="79">
        <f t="shared" si="50"/>
        <v>1.0162303394668126E-3</v>
      </c>
      <c r="AZ109" s="307">
        <f t="shared" si="51"/>
        <v>0.12345599389895832</v>
      </c>
    </row>
    <row r="110" spans="2:52">
      <c r="B110" s="267">
        <v>43839</v>
      </c>
      <c r="C110">
        <v>62.5</v>
      </c>
      <c r="D110" s="79">
        <f t="shared" si="18"/>
        <v>-3.0080000000000041E-2</v>
      </c>
      <c r="E110" s="80">
        <f t="shared" si="19"/>
        <v>-3.3618333333333375E-2</v>
      </c>
      <c r="F110">
        <v>157.44</v>
      </c>
      <c r="G110" s="79">
        <f t="shared" si="20"/>
        <v>-3.5759654471544687E-2</v>
      </c>
      <c r="H110" s="79">
        <f t="shared" si="21"/>
        <v>-3.9297987804878018E-2</v>
      </c>
      <c r="I110" s="79">
        <f t="shared" si="22"/>
        <v>-3.9045191066258589E-2</v>
      </c>
      <c r="J110" s="80">
        <f t="shared" si="23"/>
        <v>-1.3873636224728127E-2</v>
      </c>
      <c r="K110">
        <v>143</v>
      </c>
      <c r="L110" s="79">
        <f t="shared" si="24"/>
        <v>-9.54545454545455E-2</v>
      </c>
      <c r="M110" s="79">
        <f t="shared" si="25"/>
        <v>-9.8992878787878838E-2</v>
      </c>
      <c r="N110" s="79">
        <f t="shared" si="26"/>
        <v>-6.0038554813620915E-2</v>
      </c>
      <c r="O110" s="80">
        <f t="shared" si="52"/>
        <v>-5.2575163460366628E-2</v>
      </c>
      <c r="P110">
        <v>338.25</v>
      </c>
      <c r="Q110" s="79">
        <f t="shared" si="27"/>
        <v>7.3614190687361688E-3</v>
      </c>
      <c r="R110" s="79">
        <f t="shared" si="28"/>
        <v>3.8230857354028358E-3</v>
      </c>
      <c r="S110" s="79">
        <f t="shared" si="53"/>
        <v>-2.4875667886639179E-2</v>
      </c>
      <c r="T110" s="80">
        <f t="shared" si="54"/>
        <v>1.8305548458637456E-2</v>
      </c>
      <c r="U110">
        <v>500.03</v>
      </c>
      <c r="V110" s="79">
        <f t="shared" si="29"/>
        <v>-4.8577085374877441E-2</v>
      </c>
      <c r="W110" s="79">
        <f t="shared" si="30"/>
        <v>-5.2115418708210771E-2</v>
      </c>
      <c r="X110" s="79">
        <f t="shared" si="55"/>
        <v>-3.861464478157562E-2</v>
      </c>
      <c r="Y110" s="80">
        <f t="shared" si="31"/>
        <v>-3.4196775298265432E-2</v>
      </c>
      <c r="Z110" s="249">
        <v>1710.68</v>
      </c>
      <c r="AA110" s="79">
        <f t="shared" si="32"/>
        <v>-5.1546753337853989E-2</v>
      </c>
      <c r="AB110" s="79">
        <f t="shared" si="33"/>
        <v>-5.5085086671187319E-2</v>
      </c>
      <c r="AC110" s="79">
        <f t="shared" si="34"/>
        <v>-3.3787154506750829E-2</v>
      </c>
      <c r="AD110" s="80">
        <f t="shared" si="35"/>
        <v>-2.742375066148952E-2</v>
      </c>
      <c r="AE110">
        <v>277.70999999999998</v>
      </c>
      <c r="AF110" s="79">
        <f t="shared" si="36"/>
        <v>-3.9609664758201005E-2</v>
      </c>
      <c r="AG110" s="79">
        <f t="shared" si="37"/>
        <v>-4.3147998091534336E-2</v>
      </c>
      <c r="AH110" s="79">
        <f t="shared" si="38"/>
        <v>-2.8689247581541441E-2</v>
      </c>
      <c r="AI110" s="80">
        <f t="shared" si="39"/>
        <v>-1.8110105371599586E-2</v>
      </c>
      <c r="AJ110">
        <v>85.92</v>
      </c>
      <c r="AK110" s="79">
        <f t="shared" si="40"/>
        <v>1.2104283054003632E-2</v>
      </c>
      <c r="AL110" s="79">
        <f t="shared" si="41"/>
        <v>8.5659497206702993E-3</v>
      </c>
      <c r="AM110" s="79">
        <f t="shared" si="42"/>
        <v>-2.4721078905737059E-2</v>
      </c>
      <c r="AN110" s="80">
        <f t="shared" si="43"/>
        <v>3.2168622219153759E-2</v>
      </c>
      <c r="AO110">
        <v>46.64</v>
      </c>
      <c r="AP110" s="79">
        <f t="shared" si="44"/>
        <v>-8.3619210977701666E-3</v>
      </c>
      <c r="AQ110" s="79">
        <f t="shared" si="45"/>
        <v>-1.1900254431103499E-2</v>
      </c>
      <c r="AR110" s="79">
        <f t="shared" si="46"/>
        <v>-1.5504628604745722E-2</v>
      </c>
      <c r="AS110" s="80">
        <f t="shared" si="47"/>
        <v>-1.6156502093970376E-3</v>
      </c>
      <c r="AT110" s="178">
        <f t="shared" si="17"/>
        <v>100.22764547604193</v>
      </c>
      <c r="AU110" s="80">
        <f t="shared" si="48"/>
        <v>-3.0688129251933222E-2</v>
      </c>
      <c r="AV110">
        <v>54.91</v>
      </c>
      <c r="AW110" s="79">
        <f t="shared" si="49"/>
        <v>-3.6423238025853254E-4</v>
      </c>
      <c r="AX110" s="79">
        <f t="shared" si="50"/>
        <v>-3.9025657135918655E-3</v>
      </c>
      <c r="AZ110" s="307">
        <f t="shared" si="51"/>
        <v>-2.9715767619741509E-2</v>
      </c>
    </row>
    <row r="111" spans="2:52">
      <c r="B111" s="267">
        <v>43838</v>
      </c>
      <c r="C111">
        <v>63.65</v>
      </c>
      <c r="D111" s="79">
        <f t="shared" si="18"/>
        <v>-1.8067556952081676E-2</v>
      </c>
      <c r="E111" s="80">
        <f t="shared" si="19"/>
        <v>-2.160589028541501E-2</v>
      </c>
      <c r="F111">
        <v>172.55</v>
      </c>
      <c r="G111" s="79">
        <f t="shared" si="20"/>
        <v>-8.756882063170103E-2</v>
      </c>
      <c r="H111" s="79">
        <f t="shared" si="21"/>
        <v>-9.1107153965034368E-2</v>
      </c>
      <c r="I111" s="79">
        <f t="shared" si="22"/>
        <v>-2.5093632869485349E-2</v>
      </c>
      <c r="J111" s="80">
        <f t="shared" si="23"/>
        <v>-7.9634360581657723E-2</v>
      </c>
      <c r="K111">
        <v>166.11</v>
      </c>
      <c r="L111" s="79">
        <f t="shared" si="24"/>
        <v>-0.13912467641924034</v>
      </c>
      <c r="M111" s="79">
        <f t="shared" si="25"/>
        <v>-0.14266300975257368</v>
      </c>
      <c r="N111" s="79">
        <f t="shared" si="26"/>
        <v>-3.8585685237161285E-2</v>
      </c>
      <c r="O111" s="80">
        <f t="shared" si="52"/>
        <v>-0.1176981640015211</v>
      </c>
      <c r="P111">
        <v>331.25</v>
      </c>
      <c r="Q111" s="79">
        <f t="shared" si="27"/>
        <v>2.1132075471698115E-2</v>
      </c>
      <c r="R111" s="79">
        <f t="shared" si="28"/>
        <v>1.759374213836478E-2</v>
      </c>
      <c r="S111" s="79">
        <f t="shared" si="53"/>
        <v>-1.598713849988043E-2</v>
      </c>
      <c r="T111" s="80">
        <f t="shared" si="54"/>
        <v>2.3187675474840651E-2</v>
      </c>
      <c r="U111">
        <v>529.55999999999995</v>
      </c>
      <c r="V111" s="79">
        <f t="shared" si="29"/>
        <v>-5.576327517184073E-2</v>
      </c>
      <c r="W111" s="79">
        <f t="shared" si="30"/>
        <v>-5.9301608505174061E-2</v>
      </c>
      <c r="X111" s="79">
        <f t="shared" si="55"/>
        <v>-2.4816928617153192E-2</v>
      </c>
      <c r="Y111" s="80">
        <f t="shared" si="31"/>
        <v>-5.5180681259651143E-2</v>
      </c>
      <c r="Z111" s="249">
        <v>1910.45</v>
      </c>
      <c r="AA111" s="79">
        <f t="shared" si="32"/>
        <v>-0.10456698683556229</v>
      </c>
      <c r="AB111" s="79">
        <f t="shared" si="33"/>
        <v>-0.10810532016889562</v>
      </c>
      <c r="AC111" s="79">
        <f t="shared" si="34"/>
        <v>-2.171438857753873E-2</v>
      </c>
      <c r="AD111" s="80">
        <f t="shared" si="35"/>
        <v>-9.2516750088409927E-2</v>
      </c>
      <c r="AE111">
        <v>285.04000000000002</v>
      </c>
      <c r="AF111" s="79">
        <f t="shared" si="36"/>
        <v>-2.5715689026101742E-2</v>
      </c>
      <c r="AG111" s="79">
        <f t="shared" si="37"/>
        <v>-2.9254022359435077E-2</v>
      </c>
      <c r="AH111" s="79">
        <f t="shared" si="38"/>
        <v>-1.8438056683889491E-2</v>
      </c>
      <c r="AI111" s="80">
        <f t="shared" si="39"/>
        <v>-1.4467320537152276E-2</v>
      </c>
      <c r="AJ111">
        <v>84.47</v>
      </c>
      <c r="AK111" s="79">
        <f t="shared" si="40"/>
        <v>1.7165857700958954E-2</v>
      </c>
      <c r="AL111" s="79">
        <f t="shared" si="41"/>
        <v>1.3627524367625621E-2</v>
      </c>
      <c r="AM111" s="79">
        <f t="shared" si="42"/>
        <v>-1.5887786978566503E-2</v>
      </c>
      <c r="AN111" s="80">
        <f t="shared" si="43"/>
        <v>2.8396904938938525E-2</v>
      </c>
      <c r="AO111">
        <v>46.28</v>
      </c>
      <c r="AP111" s="79">
        <f t="shared" si="44"/>
        <v>7.7787381158167549E-3</v>
      </c>
      <c r="AQ111" s="79">
        <f t="shared" si="45"/>
        <v>4.2404047824834215E-3</v>
      </c>
      <c r="AR111" s="79">
        <f t="shared" si="46"/>
        <v>-9.964542299843622E-3</v>
      </c>
      <c r="AS111" s="80">
        <f t="shared" si="47"/>
        <v>8.9849226992877833E-3</v>
      </c>
      <c r="AT111" s="178">
        <f t="shared" si="17"/>
        <v>103.40082330642583</v>
      </c>
      <c r="AU111" s="80">
        <f t="shared" si="48"/>
        <v>-4.2773502224161895E-2</v>
      </c>
      <c r="AV111">
        <v>55.09</v>
      </c>
      <c r="AW111" s="79">
        <f t="shared" si="49"/>
        <v>-3.2673806498458306E-3</v>
      </c>
      <c r="AX111" s="79">
        <f t="shared" si="50"/>
        <v>-6.8057139831791636E-3</v>
      </c>
      <c r="AZ111" s="307">
        <f t="shared" si="51"/>
        <v>-1.4800176302235846E-2</v>
      </c>
    </row>
    <row r="112" spans="2:52">
      <c r="B112" s="267">
        <v>43837</v>
      </c>
      <c r="C112">
        <v>58.49</v>
      </c>
      <c r="D112" s="79">
        <f t="shared" si="18"/>
        <v>8.8220208582663648E-2</v>
      </c>
      <c r="E112" s="80">
        <f t="shared" si="19"/>
        <v>8.468187524933031E-2</v>
      </c>
      <c r="F112">
        <v>158.22999999999999</v>
      </c>
      <c r="G112" s="79">
        <f t="shared" si="20"/>
        <v>9.0501169184099242E-2</v>
      </c>
      <c r="H112" s="79">
        <f t="shared" si="21"/>
        <v>8.6962835850765904E-2</v>
      </c>
      <c r="I112" s="79">
        <f t="shared" si="22"/>
        <v>9.8351692993679199E-2</v>
      </c>
      <c r="J112" s="80">
        <f t="shared" si="23"/>
        <v>-2.5009696629021999E-2</v>
      </c>
      <c r="K112">
        <v>95.38</v>
      </c>
      <c r="L112" s="79">
        <f t="shared" si="24"/>
        <v>0.74156007548752378</v>
      </c>
      <c r="M112" s="79">
        <f t="shared" si="25"/>
        <v>0.73802174215419047</v>
      </c>
      <c r="N112" s="79">
        <f t="shared" si="26"/>
        <v>0.15123228621913995</v>
      </c>
      <c r="O112" s="80">
        <f t="shared" si="52"/>
        <v>0.57316861644894179</v>
      </c>
      <c r="P112">
        <v>310.17</v>
      </c>
      <c r="Q112" s="79">
        <f t="shared" si="27"/>
        <v>6.7962730115742928E-2</v>
      </c>
      <c r="R112" s="79">
        <f t="shared" si="28"/>
        <v>6.442439678240959E-2</v>
      </c>
      <c r="S112" s="79">
        <f t="shared" si="53"/>
        <v>6.2659804810474895E-2</v>
      </c>
      <c r="T112" s="80">
        <f t="shared" si="54"/>
        <v>-8.6286131914698611E-3</v>
      </c>
      <c r="U112">
        <v>488.88</v>
      </c>
      <c r="V112" s="79">
        <f t="shared" si="29"/>
        <v>8.3210603829160429E-2</v>
      </c>
      <c r="W112" s="79">
        <f t="shared" si="30"/>
        <v>7.9672270495827091E-2</v>
      </c>
      <c r="X112" s="79">
        <f t="shared" si="55"/>
        <v>9.726718156335093E-2</v>
      </c>
      <c r="Y112" s="80">
        <f t="shared" si="31"/>
        <v>-3.8290912439154112E-2</v>
      </c>
      <c r="Z112" s="249">
        <v>1662.13</v>
      </c>
      <c r="AA112" s="79">
        <f t="shared" si="32"/>
        <v>0.14939866316112455</v>
      </c>
      <c r="AB112" s="79">
        <f t="shared" si="33"/>
        <v>0.14586032982779121</v>
      </c>
      <c r="AC112" s="79">
        <f t="shared" si="34"/>
        <v>8.5107122194353832E-2</v>
      </c>
      <c r="AD112" s="80">
        <f t="shared" si="35"/>
        <v>5.4627389136384333E-2</v>
      </c>
      <c r="AE112">
        <v>265.49</v>
      </c>
      <c r="AF112" s="79">
        <f t="shared" si="36"/>
        <v>7.3637425138423335E-2</v>
      </c>
      <c r="AG112" s="79">
        <f t="shared" si="37"/>
        <v>7.0099091805089997E-2</v>
      </c>
      <c r="AH112" s="79">
        <f t="shared" si="38"/>
        <v>7.2265905052716489E-2</v>
      </c>
      <c r="AI112" s="80">
        <f t="shared" si="39"/>
        <v>-5.8181681092331905E-3</v>
      </c>
      <c r="AJ112">
        <v>76.53</v>
      </c>
      <c r="AK112" s="79">
        <f t="shared" si="40"/>
        <v>0.10375016333463997</v>
      </c>
      <c r="AL112" s="79">
        <f t="shared" si="41"/>
        <v>0.10021183000130664</v>
      </c>
      <c r="AM112" s="79">
        <f t="shared" si="42"/>
        <v>6.2270407612646093E-2</v>
      </c>
      <c r="AN112" s="80">
        <f t="shared" si="43"/>
        <v>3.6823015981406949E-2</v>
      </c>
      <c r="AO112">
        <v>43.13</v>
      </c>
      <c r="AP112" s="79">
        <f t="shared" si="44"/>
        <v>7.3035010433572883E-2</v>
      </c>
      <c r="AQ112" s="79">
        <f t="shared" si="45"/>
        <v>6.9496677100239546E-2</v>
      </c>
      <c r="AR112" s="79">
        <f t="shared" si="46"/>
        <v>3.9054911267491166E-2</v>
      </c>
      <c r="AS112" s="80">
        <f t="shared" si="47"/>
        <v>2.5221741449709123E-2</v>
      </c>
      <c r="AT112" s="178">
        <f t="shared" si="17"/>
        <v>108.02127139886184</v>
      </c>
      <c r="AU112" s="80">
        <f t="shared" si="48"/>
        <v>9.7147170518225107E-2</v>
      </c>
      <c r="AV112">
        <v>55.05</v>
      </c>
      <c r="AW112" s="79">
        <f t="shared" si="49"/>
        <v>7.2661217075397375E-4</v>
      </c>
      <c r="AX112" s="79">
        <f t="shared" si="50"/>
        <v>-2.8117211625793594E-3</v>
      </c>
      <c r="AZ112" s="307">
        <f t="shared" si="51"/>
        <v>8.7493596411909666E-2</v>
      </c>
    </row>
    <row r="113" spans="2:53">
      <c r="B113" s="267">
        <v>43836</v>
      </c>
      <c r="C113">
        <v>54.76</v>
      </c>
      <c r="D113" s="79">
        <f t="shared" si="18"/>
        <v>6.8115412710007386E-2</v>
      </c>
      <c r="E113" s="80">
        <f t="shared" si="19"/>
        <v>6.4577079376674049E-2</v>
      </c>
      <c r="F113">
        <v>137.94</v>
      </c>
      <c r="G113" s="79">
        <f t="shared" si="20"/>
        <v>0.14709293895896761</v>
      </c>
      <c r="H113" s="79">
        <f t="shared" si="21"/>
        <v>0.14355460562563427</v>
      </c>
      <c r="I113" s="79">
        <f t="shared" si="22"/>
        <v>7.5001469518512179E-2</v>
      </c>
      <c r="J113" s="80">
        <f t="shared" si="23"/>
        <v>5.4932296621013385E-2</v>
      </c>
      <c r="K113">
        <v>71.989999999999995</v>
      </c>
      <c r="L113" s="79">
        <f t="shared" si="24"/>
        <v>0.32490623697735799</v>
      </c>
      <c r="M113" s="79">
        <f t="shared" si="25"/>
        <v>0.32136790364402468</v>
      </c>
      <c r="N113" s="79">
        <f t="shared" si="26"/>
        <v>0.11532738644172293</v>
      </c>
      <c r="O113" s="80">
        <f t="shared" si="52"/>
        <v>0.19241967771619306</v>
      </c>
      <c r="P113">
        <v>288.89999999999998</v>
      </c>
      <c r="Q113" s="79">
        <f t="shared" si="27"/>
        <v>7.3624091381100862E-2</v>
      </c>
      <c r="R113" s="79">
        <f t="shared" si="28"/>
        <v>7.0085758047767524E-2</v>
      </c>
      <c r="S113" s="79">
        <f t="shared" si="53"/>
        <v>4.7783391393484052E-2</v>
      </c>
      <c r="T113" s="80">
        <f t="shared" si="54"/>
        <v>1.1909161490878915E-2</v>
      </c>
      <c r="U113">
        <v>455.04</v>
      </c>
      <c r="V113" s="79">
        <f t="shared" si="29"/>
        <v>7.4367088607594875E-2</v>
      </c>
      <c r="W113" s="79">
        <f t="shared" si="30"/>
        <v>7.0828755274261537E-2</v>
      </c>
      <c r="X113" s="79">
        <f t="shared" si="55"/>
        <v>7.4174437990041475E-2</v>
      </c>
      <c r="Y113" s="80">
        <f t="shared" si="31"/>
        <v>-2.4041684087410212E-2</v>
      </c>
      <c r="Z113" s="249">
        <v>1592.34</v>
      </c>
      <c r="AA113" s="79">
        <f t="shared" si="32"/>
        <v>4.3828579323511432E-2</v>
      </c>
      <c r="AB113" s="79">
        <f t="shared" si="33"/>
        <v>4.0290245990178102E-2</v>
      </c>
      <c r="AC113" s="79">
        <f t="shared" si="34"/>
        <v>6.4901366074891553E-2</v>
      </c>
      <c r="AD113" s="80">
        <f t="shared" si="35"/>
        <v>-3.0736938581766481E-2</v>
      </c>
      <c r="AE113">
        <v>250.51</v>
      </c>
      <c r="AF113" s="79">
        <f t="shared" si="36"/>
        <v>5.9798012055407045E-2</v>
      </c>
      <c r="AG113" s="79">
        <f t="shared" si="37"/>
        <v>5.6259678722073714E-2</v>
      </c>
      <c r="AH113" s="79">
        <f t="shared" si="38"/>
        <v>5.5108853849494419E-2</v>
      </c>
      <c r="AI113" s="80">
        <f t="shared" si="39"/>
        <v>-2.500529989027396E-3</v>
      </c>
      <c r="AJ113">
        <v>73.59</v>
      </c>
      <c r="AK113" s="79">
        <f t="shared" si="40"/>
        <v>3.9951080309824673E-2</v>
      </c>
      <c r="AL113" s="79">
        <f t="shared" si="41"/>
        <v>3.6412746976491342E-2</v>
      </c>
      <c r="AM113" s="79">
        <f t="shared" si="42"/>
        <v>4.7486443154215532E-2</v>
      </c>
      <c r="AN113" s="80">
        <f t="shared" si="43"/>
        <v>-1.2192102584977792E-2</v>
      </c>
      <c r="AO113">
        <v>39.93</v>
      </c>
      <c r="AP113" s="79">
        <f t="shared" si="44"/>
        <v>8.0140245429501697E-2</v>
      </c>
      <c r="AQ113" s="79">
        <f t="shared" si="45"/>
        <v>7.6601912096168359E-2</v>
      </c>
      <c r="AR113" s="79">
        <f t="shared" si="46"/>
        <v>2.978266715922406E-2</v>
      </c>
      <c r="AS113" s="80">
        <f t="shared" si="47"/>
        <v>4.1599220553905039E-2</v>
      </c>
      <c r="AT113" s="178">
        <f t="shared" si="17"/>
        <v>98.456500915769766</v>
      </c>
      <c r="AU113" s="80">
        <f t="shared" si="48"/>
        <v>8.6292016245275951E-2</v>
      </c>
      <c r="AV113">
        <v>54.71</v>
      </c>
      <c r="AW113" s="79">
        <f t="shared" si="49"/>
        <v>6.2145859989032404E-3</v>
      </c>
      <c r="AX113" s="79">
        <f t="shared" si="50"/>
        <v>2.6762526655699074E-3</v>
      </c>
      <c r="AZ113" s="307">
        <f t="shared" si="51"/>
        <v>6.190082671110414E-2</v>
      </c>
    </row>
    <row r="114" spans="2:53">
      <c r="B114" s="267">
        <v>43835</v>
      </c>
      <c r="C114">
        <v>54.44</v>
      </c>
      <c r="D114" s="79">
        <f t="shared" si="18"/>
        <v>5.8780308596620189E-3</v>
      </c>
      <c r="E114" s="80">
        <f t="shared" si="19"/>
        <v>2.3396975263286859E-3</v>
      </c>
      <c r="F114">
        <v>122.12</v>
      </c>
      <c r="G114" s="79">
        <f t="shared" si="20"/>
        <v>0.1295447101211922</v>
      </c>
      <c r="H114" s="79">
        <f t="shared" si="21"/>
        <v>0.12600637678785886</v>
      </c>
      <c r="I114" s="79">
        <f t="shared" si="22"/>
        <v>2.7173844713526151E-3</v>
      </c>
      <c r="J114" s="80">
        <f t="shared" si="23"/>
        <v>0.10966815283039755</v>
      </c>
      <c r="K114">
        <v>55.67</v>
      </c>
      <c r="L114" s="79">
        <f t="shared" si="24"/>
        <v>0.29315609843721918</v>
      </c>
      <c r="M114" s="79">
        <f t="shared" si="25"/>
        <v>0.28961776510388587</v>
      </c>
      <c r="N114" s="79">
        <f t="shared" si="26"/>
        <v>4.1784361166559286E-3</v>
      </c>
      <c r="O114" s="80">
        <f t="shared" si="52"/>
        <v>0.27181848950112125</v>
      </c>
      <c r="P114">
        <v>293.91000000000003</v>
      </c>
      <c r="Q114" s="79">
        <f t="shared" si="27"/>
        <v>-1.7046034500357413E-2</v>
      </c>
      <c r="R114" s="79">
        <f t="shared" si="28"/>
        <v>-2.0584367833690748E-2</v>
      </c>
      <c r="S114" s="79">
        <f t="shared" si="53"/>
        <v>1.7312440222143736E-3</v>
      </c>
      <c r="T114" s="80">
        <f t="shared" si="54"/>
        <v>-3.270881701930968E-2</v>
      </c>
      <c r="U114">
        <v>419.73</v>
      </c>
      <c r="V114" s="79">
        <f t="shared" si="29"/>
        <v>8.4125509255950262E-2</v>
      </c>
      <c r="W114" s="79">
        <f t="shared" si="30"/>
        <v>8.0587175922616924E-2</v>
      </c>
      <c r="X114" s="79">
        <f t="shared" si="55"/>
        <v>2.6874202233557066E-3</v>
      </c>
      <c r="Y114" s="80">
        <f t="shared" si="31"/>
        <v>5.7203754327630946E-2</v>
      </c>
      <c r="Z114" s="249">
        <v>1639.42</v>
      </c>
      <c r="AA114" s="79">
        <f t="shared" si="32"/>
        <v>-2.8717473252735815E-2</v>
      </c>
      <c r="AB114" s="79">
        <f t="shared" si="33"/>
        <v>-3.225580658606915E-2</v>
      </c>
      <c r="AC114" s="79">
        <f t="shared" si="34"/>
        <v>2.3514467846253513E-3</v>
      </c>
      <c r="AD114" s="80">
        <f t="shared" si="35"/>
        <v>-4.0733071867747529E-2</v>
      </c>
      <c r="AE114">
        <v>248.48</v>
      </c>
      <c r="AF114" s="79">
        <f t="shared" si="36"/>
        <v>8.1696716033483625E-3</v>
      </c>
      <c r="AG114" s="79">
        <f t="shared" si="37"/>
        <v>4.6313382700150299E-3</v>
      </c>
      <c r="AH114" s="79">
        <f t="shared" si="38"/>
        <v>1.9966534608724502E-3</v>
      </c>
      <c r="AI114" s="80">
        <f t="shared" si="39"/>
        <v>-1.0166700524641132E-3</v>
      </c>
      <c r="AJ114">
        <v>77.989999999999995</v>
      </c>
      <c r="AK114" s="79">
        <f t="shared" si="40"/>
        <v>-5.6417489421720625E-2</v>
      </c>
      <c r="AL114" s="79">
        <f t="shared" si="41"/>
        <v>-5.9955822755053956E-2</v>
      </c>
      <c r="AM114" s="79">
        <f t="shared" si="42"/>
        <v>1.7204852658944776E-3</v>
      </c>
      <c r="AN114" s="80">
        <f t="shared" si="43"/>
        <v>-6.2794714428202031E-2</v>
      </c>
      <c r="AO114">
        <v>41.35</v>
      </c>
      <c r="AP114" s="79">
        <f t="shared" si="44"/>
        <v>-3.4340991535671141E-2</v>
      </c>
      <c r="AQ114" s="79">
        <f t="shared" si="45"/>
        <v>-3.7879324869004471E-2</v>
      </c>
      <c r="AR114" s="79">
        <f t="shared" si="46"/>
        <v>1.0790582874374648E-3</v>
      </c>
      <c r="AS114" s="80">
        <f t="shared" si="47"/>
        <v>-4.4178407539481199E-2</v>
      </c>
      <c r="AT114" s="178">
        <f t="shared" si="17"/>
        <v>90.635390340141356</v>
      </c>
      <c r="AU114" s="80">
        <f t="shared" si="48"/>
        <v>2.8807416605066485E-2</v>
      </c>
      <c r="AV114">
        <v>54.37</v>
      </c>
      <c r="AW114" s="79">
        <f t="shared" si="49"/>
        <v>6.2534485929741299E-3</v>
      </c>
      <c r="AX114" s="79">
        <f t="shared" si="50"/>
        <v>2.7151152596407969E-3</v>
      </c>
      <c r="AZ114" s="307">
        <f t="shared" si="51"/>
        <v>-3.7541773331211097E-4</v>
      </c>
    </row>
    <row r="115" spans="2:53">
      <c r="B115" s="267">
        <v>43834</v>
      </c>
      <c r="C115">
        <v>51.19</v>
      </c>
      <c r="D115" s="79">
        <f t="shared" si="18"/>
        <v>6.3488962688025008E-2</v>
      </c>
      <c r="E115" s="79">
        <f t="shared" si="19"/>
        <v>5.9950629354691677E-2</v>
      </c>
      <c r="F115" s="258">
        <v>123.7</v>
      </c>
      <c r="G115" s="79">
        <f t="shared" si="20"/>
        <v>-1.2772837510105078E-2</v>
      </c>
      <c r="H115" s="79">
        <f t="shared" si="21"/>
        <v>-1.6311170843438413E-2</v>
      </c>
      <c r="I115" s="79">
        <f t="shared" si="22"/>
        <v>6.9628192286839058E-2</v>
      </c>
      <c r="J115" s="80">
        <f t="shared" si="23"/>
        <v>-9.9560202616386179E-2</v>
      </c>
      <c r="K115">
        <v>52.13</v>
      </c>
      <c r="L115" s="79">
        <f t="shared" si="24"/>
        <v>6.7907155188950685E-2</v>
      </c>
      <c r="M115" s="79">
        <f t="shared" si="25"/>
        <v>6.4368821855617347E-2</v>
      </c>
      <c r="N115" s="79">
        <f t="shared" si="26"/>
        <v>0.1070650680667113</v>
      </c>
      <c r="O115" s="80">
        <f t="shared" si="52"/>
        <v>-5.6317085697202653E-2</v>
      </c>
      <c r="P115">
        <v>288.7</v>
      </c>
      <c r="Q115" s="79">
        <f t="shared" si="27"/>
        <v>1.8046414963630193E-2</v>
      </c>
      <c r="R115" s="79">
        <f t="shared" si="28"/>
        <v>1.4508081630296861E-2</v>
      </c>
      <c r="S115" s="79">
        <f t="shared" si="53"/>
        <v>4.436007968139339E-2</v>
      </c>
      <c r="T115" s="80">
        <f t="shared" si="54"/>
        <v>-4.0245203214501091E-2</v>
      </c>
      <c r="U115">
        <v>419.85</v>
      </c>
      <c r="V115" s="79">
        <f t="shared" si="29"/>
        <v>-2.8581636298679182E-4</v>
      </c>
      <c r="W115" s="79">
        <f t="shared" si="30"/>
        <v>-3.8241496963201246E-3</v>
      </c>
      <c r="X115" s="79">
        <f t="shared" si="55"/>
        <v>6.8860411193197649E-2</v>
      </c>
      <c r="Y115" s="80">
        <f t="shared" si="31"/>
        <v>-9.3380562261148048E-2</v>
      </c>
      <c r="Z115" s="249">
        <v>1480.57</v>
      </c>
      <c r="AA115" s="79">
        <f t="shared" si="32"/>
        <v>0.10728976002485539</v>
      </c>
      <c r="AB115" s="79">
        <f t="shared" si="33"/>
        <v>0.10375142669152206</v>
      </c>
      <c r="AC115" s="79">
        <f t="shared" si="34"/>
        <v>6.0251683410358942E-2</v>
      </c>
      <c r="AD115" s="80">
        <f t="shared" si="35"/>
        <v>3.7373924784110085E-2</v>
      </c>
      <c r="AE115">
        <v>219.83</v>
      </c>
      <c r="AF115" s="79">
        <f t="shared" si="36"/>
        <v>0.13032798071236854</v>
      </c>
      <c r="AG115" s="79">
        <f t="shared" si="37"/>
        <v>0.1267896473790352</v>
      </c>
      <c r="AH115" s="79">
        <f t="shared" si="38"/>
        <v>5.1160729212016462E-2</v>
      </c>
      <c r="AI115" s="80">
        <f t="shared" si="39"/>
        <v>7.1977563305412037E-2</v>
      </c>
      <c r="AJ115">
        <v>76.73</v>
      </c>
      <c r="AK115" s="79">
        <f t="shared" si="40"/>
        <v>1.6421217255310712E-2</v>
      </c>
      <c r="AL115" s="79">
        <f t="shared" si="41"/>
        <v>1.2882883921977379E-2</v>
      </c>
      <c r="AM115" s="79">
        <f t="shared" si="42"/>
        <v>4.4084405494797307E-2</v>
      </c>
      <c r="AN115" s="80">
        <f t="shared" si="43"/>
        <v>-3.2319927980073528E-2</v>
      </c>
      <c r="AO115">
        <v>40.520000000000003</v>
      </c>
      <c r="AP115" s="79">
        <f t="shared" si="44"/>
        <v>2.0483711747285249E-2</v>
      </c>
      <c r="AQ115" s="79">
        <f t="shared" si="45"/>
        <v>1.6945378413951915E-2</v>
      </c>
      <c r="AR115" s="79">
        <f t="shared" si="46"/>
        <v>2.7648968601415694E-2</v>
      </c>
      <c r="AS115" s="80">
        <f t="shared" si="47"/>
        <v>-1.592361457050304E-2</v>
      </c>
      <c r="AT115" s="178">
        <f t="shared" si="17"/>
        <v>88.097528144991998</v>
      </c>
      <c r="AU115" s="80">
        <f t="shared" si="48"/>
        <v>3.6754574512575522E-2</v>
      </c>
      <c r="AV115">
        <v>53.67</v>
      </c>
      <c r="AW115" s="79">
        <f t="shared" si="49"/>
        <v>1.3042668157257234E-2</v>
      </c>
      <c r="AX115" s="79">
        <f t="shared" si="50"/>
        <v>9.504334823923901E-3</v>
      </c>
      <c r="AZ115" s="307">
        <f t="shared" si="51"/>
        <v>5.044629453076778E-2</v>
      </c>
    </row>
    <row r="116" spans="2:53">
      <c r="B116" s="267">
        <v>43833</v>
      </c>
      <c r="C116">
        <v>44.29</v>
      </c>
      <c r="D116" s="79">
        <f t="shared" si="18"/>
        <v>0.15579137502822304</v>
      </c>
      <c r="E116" s="79">
        <f t="shared" si="19"/>
        <v>0.15225304169488971</v>
      </c>
      <c r="F116" s="258">
        <v>97.49</v>
      </c>
      <c r="G116" s="79">
        <f t="shared" si="20"/>
        <v>0.26884808698328044</v>
      </c>
      <c r="H116" s="79">
        <f t="shared" si="21"/>
        <v>0.26530975364994713</v>
      </c>
      <c r="I116" s="79">
        <f t="shared" si="22"/>
        <v>0.17683057171372751</v>
      </c>
      <c r="J116" s="80">
        <f t="shared" si="23"/>
        <v>7.4858342450110915E-2</v>
      </c>
      <c r="K116">
        <v>34.93</v>
      </c>
      <c r="L116" s="79">
        <f t="shared" si="24"/>
        <v>0.49241339822502156</v>
      </c>
      <c r="M116" s="79">
        <f t="shared" si="25"/>
        <v>0.48887506489168825</v>
      </c>
      <c r="N116" s="79">
        <f t="shared" si="26"/>
        <v>0.27190677475601016</v>
      </c>
      <c r="O116" s="80">
        <f t="shared" si="52"/>
        <v>0.20334745064956938</v>
      </c>
      <c r="P116">
        <v>271.67</v>
      </c>
      <c r="Q116" s="79">
        <f t="shared" si="27"/>
        <v>6.2686347406780182E-2</v>
      </c>
      <c r="R116" s="79">
        <f t="shared" si="28"/>
        <v>5.9148014073446852E-2</v>
      </c>
      <c r="S116" s="79">
        <f t="shared" si="53"/>
        <v>0.11265865152742154</v>
      </c>
      <c r="T116" s="80">
        <f t="shared" si="54"/>
        <v>-6.3903842617379247E-2</v>
      </c>
      <c r="U116">
        <v>375.5</v>
      </c>
      <c r="V116" s="79">
        <f t="shared" si="29"/>
        <v>0.11810918774966717</v>
      </c>
      <c r="W116" s="79">
        <f t="shared" si="30"/>
        <v>0.11457085441633383</v>
      </c>
      <c r="X116" s="79">
        <f t="shared" si="55"/>
        <v>0.17488068381228239</v>
      </c>
      <c r="Y116" s="80">
        <f t="shared" si="31"/>
        <v>-8.1005830767578835E-2</v>
      </c>
      <c r="Z116" s="269">
        <v>1345.32</v>
      </c>
      <c r="AA116" s="79">
        <f t="shared" si="32"/>
        <v>0.10053370201885053</v>
      </c>
      <c r="AB116" s="79">
        <f t="shared" si="33"/>
        <v>9.6995368685517197E-2</v>
      </c>
      <c r="AC116" s="79">
        <f t="shared" si="34"/>
        <v>0.15301761074417755</v>
      </c>
      <c r="AD116" s="80">
        <f t="shared" si="35"/>
        <v>-6.2148060555713383E-2</v>
      </c>
      <c r="AE116">
        <v>186.71</v>
      </c>
      <c r="AF116" s="79">
        <f t="shared" si="36"/>
        <v>0.17738739221252212</v>
      </c>
      <c r="AG116" s="79">
        <f t="shared" si="37"/>
        <v>0.17384905887918878</v>
      </c>
      <c r="AH116" s="79">
        <f t="shared" si="38"/>
        <v>0.12992985597820941</v>
      </c>
      <c r="AI116" s="80">
        <f t="shared" si="39"/>
        <v>4.0267848039372667E-2</v>
      </c>
      <c r="AJ116">
        <v>65.739999999999995</v>
      </c>
      <c r="AK116" s="79">
        <f t="shared" si="40"/>
        <v>0.16717371463340447</v>
      </c>
      <c r="AL116" s="79">
        <f t="shared" si="41"/>
        <v>0.16363538130007113</v>
      </c>
      <c r="AM116" s="79">
        <f t="shared" si="42"/>
        <v>0.11195853821955792</v>
      </c>
      <c r="AN116" s="80">
        <f t="shared" si="43"/>
        <v>5.0558436673259599E-2</v>
      </c>
      <c r="AO116">
        <v>37.869999999999997</v>
      </c>
      <c r="AP116" s="79">
        <f t="shared" si="44"/>
        <v>6.9976234486401001E-2</v>
      </c>
      <c r="AQ116" s="79">
        <f t="shared" si="45"/>
        <v>6.6437901153067663E-2</v>
      </c>
      <c r="AR116" s="79">
        <f t="shared" si="46"/>
        <v>7.0218438315069964E-2</v>
      </c>
      <c r="AS116" s="80">
        <f t="shared" si="47"/>
        <v>-9.0005615450415646E-3</v>
      </c>
      <c r="AT116" s="178">
        <f t="shared" si="17"/>
        <v>84.974332702038538</v>
      </c>
      <c r="AU116" s="80">
        <f t="shared" si="48"/>
        <v>0.14671410107938229</v>
      </c>
      <c r="AV116">
        <v>52.36</v>
      </c>
      <c r="AW116" s="79">
        <f t="shared" si="49"/>
        <v>2.5019098548510355E-2</v>
      </c>
      <c r="AX116" s="79">
        <f t="shared" si="50"/>
        <v>2.1480765215177021E-2</v>
      </c>
      <c r="AZ116" s="307">
        <f t="shared" si="51"/>
        <v>0.13077227647971268</v>
      </c>
      <c r="BA116" s="243" t="s">
        <v>188</v>
      </c>
    </row>
    <row r="117" spans="2:53">
      <c r="B117" s="267">
        <v>43832</v>
      </c>
      <c r="C117">
        <v>52.1</v>
      </c>
      <c r="D117" s="79">
        <f t="shared" si="18"/>
        <v>-0.14990403071017278</v>
      </c>
      <c r="E117" s="79">
        <f t="shared" si="19"/>
        <v>-0.15344236404350611</v>
      </c>
      <c r="F117" s="258">
        <v>94.19</v>
      </c>
      <c r="G117" s="79">
        <f t="shared" si="20"/>
        <v>3.5035566408323573E-2</v>
      </c>
      <c r="H117" s="79">
        <f t="shared" si="21"/>
        <v>3.1497233074990243E-2</v>
      </c>
      <c r="I117" s="79">
        <f t="shared" si="22"/>
        <v>-0.17821188106897315</v>
      </c>
      <c r="J117" s="80">
        <f t="shared" si="23"/>
        <v>0.19608827465785469</v>
      </c>
      <c r="K117">
        <v>44.53</v>
      </c>
      <c r="L117" s="79">
        <f t="shared" si="24"/>
        <v>-0.21558499887716148</v>
      </c>
      <c r="M117" s="79">
        <f t="shared" si="25"/>
        <v>-0.21912333221049482</v>
      </c>
      <c r="N117" s="79">
        <f t="shared" si="26"/>
        <v>-0.27403077044343677</v>
      </c>
      <c r="O117" s="80">
        <f t="shared" si="52"/>
        <v>4.1286598746833242E-2</v>
      </c>
      <c r="P117">
        <v>267.87</v>
      </c>
      <c r="Q117" s="79">
        <f t="shared" si="27"/>
        <v>1.4185985739351221E-2</v>
      </c>
      <c r="R117" s="79">
        <f t="shared" si="28"/>
        <v>1.0647652406017888E-2</v>
      </c>
      <c r="S117" s="79">
        <f t="shared" si="53"/>
        <v>-0.11353868289188554</v>
      </c>
      <c r="T117" s="80">
        <f t="shared" si="54"/>
        <v>0.11379313013449886</v>
      </c>
      <c r="U117">
        <v>369.03</v>
      </c>
      <c r="V117" s="79">
        <f t="shared" si="29"/>
        <v>1.7532449936319614E-2</v>
      </c>
      <c r="W117" s="79">
        <f t="shared" si="30"/>
        <v>1.3994116602986282E-2</v>
      </c>
      <c r="X117" s="79">
        <f t="shared" si="55"/>
        <v>-0.17624676164746989</v>
      </c>
      <c r="Y117" s="80">
        <f t="shared" si="31"/>
        <v>0.16954487687882588</v>
      </c>
      <c r="Z117" s="269">
        <v>1695.66</v>
      </c>
      <c r="AA117" s="79">
        <f t="shared" si="32"/>
        <v>-0.20660981564700479</v>
      </c>
      <c r="AB117" s="79">
        <f t="shared" si="33"/>
        <v>-0.21014814898033812</v>
      </c>
      <c r="AC117" s="79">
        <f t="shared" si="34"/>
        <v>-0.15421290551243994</v>
      </c>
      <c r="AD117" s="80">
        <f t="shared" si="35"/>
        <v>-6.2061061964951231E-2</v>
      </c>
      <c r="AE117">
        <v>217.84</v>
      </c>
      <c r="AF117" s="79">
        <f t="shared" si="36"/>
        <v>-0.14290304810870361</v>
      </c>
      <c r="AG117" s="79">
        <f t="shared" si="37"/>
        <v>-0.14644138144203694</v>
      </c>
      <c r="AH117" s="79">
        <f t="shared" si="38"/>
        <v>-0.13094480109685649</v>
      </c>
      <c r="AI117" s="80">
        <f t="shared" si="39"/>
        <v>-1.9147935206787148E-2</v>
      </c>
      <c r="AJ117">
        <v>78.430000000000007</v>
      </c>
      <c r="AK117" s="79">
        <f t="shared" si="40"/>
        <v>-0.1618003315058015</v>
      </c>
      <c r="AL117" s="79">
        <f t="shared" si="41"/>
        <v>-0.16533866483913484</v>
      </c>
      <c r="AM117" s="79">
        <f t="shared" si="42"/>
        <v>-0.11283310065943207</v>
      </c>
      <c r="AN117" s="80">
        <f t="shared" si="43"/>
        <v>-5.3623970586956379E-2</v>
      </c>
      <c r="AO117">
        <v>35.89</v>
      </c>
      <c r="AP117" s="79">
        <f t="shared" si="44"/>
        <v>5.5168570632488069E-2</v>
      </c>
      <c r="AQ117" s="79">
        <f t="shared" si="45"/>
        <v>5.1630237299154738E-2</v>
      </c>
      <c r="AR117" s="79">
        <f t="shared" si="46"/>
        <v>-7.0766948591405934E-2</v>
      </c>
      <c r="AS117" s="80">
        <f t="shared" si="47"/>
        <v>0.11717716150752142</v>
      </c>
      <c r="AT117" s="178">
        <f t="shared" si="17"/>
        <v>74.102457292583793</v>
      </c>
      <c r="AU117" s="80">
        <f t="shared" si="48"/>
        <v>-3.9668269412947467E-2</v>
      </c>
      <c r="AV117">
        <v>54.39</v>
      </c>
      <c r="AW117" s="79">
        <f t="shared" si="49"/>
        <v>-3.7323037323037343E-2</v>
      </c>
      <c r="AX117" s="79">
        <f t="shared" si="50"/>
        <v>-4.0861370656370674E-2</v>
      </c>
      <c r="AZ117" s="307">
        <f t="shared" si="51"/>
        <v>-0.11258099338713544</v>
      </c>
      <c r="BA117" s="243" t="s">
        <v>189</v>
      </c>
    </row>
    <row r="118" spans="2:53">
      <c r="B118" s="267">
        <v>43831</v>
      </c>
      <c r="C118">
        <v>56.6</v>
      </c>
      <c r="D118" s="79">
        <f t="shared" si="18"/>
        <v>-7.9505300353356886E-2</v>
      </c>
      <c r="E118" s="79">
        <f t="shared" si="19"/>
        <v>-8.3043633686690224E-2</v>
      </c>
      <c r="F118" s="258">
        <v>100.44</v>
      </c>
      <c r="G118" s="79">
        <f t="shared" si="20"/>
        <v>-6.2226204699322982E-2</v>
      </c>
      <c r="H118" s="79">
        <f t="shared" si="21"/>
        <v>-6.5764538032656319E-2</v>
      </c>
      <c r="I118" s="79">
        <f t="shared" si="22"/>
        <v>-9.6448997396258104E-2</v>
      </c>
      <c r="J118" s="80">
        <f t="shared" si="23"/>
        <v>1.706361987749308E-2</v>
      </c>
      <c r="K118">
        <v>43.37</v>
      </c>
      <c r="L118" s="79">
        <f t="shared" si="24"/>
        <v>2.6746599031588741E-2</v>
      </c>
      <c r="M118" s="79">
        <f t="shared" si="25"/>
        <v>2.3208265698255407E-2</v>
      </c>
      <c r="N118" s="79">
        <f t="shared" si="26"/>
        <v>-0.14830657140510439</v>
      </c>
      <c r="O118" s="80">
        <f t="shared" si="52"/>
        <v>0.15789399761725109</v>
      </c>
      <c r="P118">
        <v>291.10000000000002</v>
      </c>
      <c r="Q118" s="79">
        <f t="shared" si="27"/>
        <v>-7.9800755754036473E-2</v>
      </c>
      <c r="R118" s="79">
        <f t="shared" si="28"/>
        <v>-8.3339089087369811E-2</v>
      </c>
      <c r="S118" s="79">
        <f t="shared" si="53"/>
        <v>-6.1447598582811715E-2</v>
      </c>
      <c r="T118" s="80">
        <f t="shared" si="54"/>
        <v>-3.2284695667962653E-2</v>
      </c>
      <c r="U118">
        <v>345.09</v>
      </c>
      <c r="V118" s="79">
        <f t="shared" si="29"/>
        <v>6.9373206989481004E-2</v>
      </c>
      <c r="W118" s="79">
        <f t="shared" si="30"/>
        <v>6.5834873656147666E-2</v>
      </c>
      <c r="X118" s="79">
        <f t="shared" si="55"/>
        <v>-9.5385466744816599E-2</v>
      </c>
      <c r="Y118" s="80">
        <f t="shared" si="31"/>
        <v>0.14052433902933398</v>
      </c>
      <c r="Z118" s="269">
        <v>1830.55</v>
      </c>
      <c r="AA118" s="79">
        <f t="shared" si="32"/>
        <v>-7.3688235776132788E-2</v>
      </c>
      <c r="AB118" s="79">
        <f t="shared" si="33"/>
        <v>-7.7226569109466126E-2</v>
      </c>
      <c r="AC118" s="79">
        <f t="shared" si="34"/>
        <v>-8.3460653874598695E-2</v>
      </c>
      <c r="AD118" s="80">
        <f t="shared" si="35"/>
        <v>1.0826626807954043E-4</v>
      </c>
      <c r="AE118">
        <v>228.1</v>
      </c>
      <c r="AF118" s="79">
        <f t="shared" si="36"/>
        <v>-4.4980271810609346E-2</v>
      </c>
      <c r="AG118" s="79">
        <f t="shared" si="37"/>
        <v>-4.8518605143942677E-2</v>
      </c>
      <c r="AH118" s="79">
        <f t="shared" si="38"/>
        <v>-7.0867860797430599E-2</v>
      </c>
      <c r="AI118" s="80">
        <f t="shared" si="39"/>
        <v>1.8697900791881231E-2</v>
      </c>
      <c r="AJ118">
        <v>84.83</v>
      </c>
      <c r="AK118" s="79">
        <f t="shared" si="40"/>
        <v>-7.544500766238349E-2</v>
      </c>
      <c r="AL118" s="79">
        <f t="shared" si="41"/>
        <v>-7.8983340995716828E-2</v>
      </c>
      <c r="AM118" s="79">
        <f t="shared" si="42"/>
        <v>-6.1065734598813856E-2</v>
      </c>
      <c r="AN118" s="80">
        <f t="shared" si="43"/>
        <v>-1.9036012804156566E-2</v>
      </c>
      <c r="AO118">
        <v>38.159999999999997</v>
      </c>
      <c r="AP118" s="79">
        <f t="shared" si="44"/>
        <v>-5.9486373165618348E-2</v>
      </c>
      <c r="AQ118" s="79">
        <f t="shared" si="45"/>
        <v>-6.3024706498951685E-2</v>
      </c>
      <c r="AR118" s="79">
        <f t="shared" si="46"/>
        <v>-3.8299361408973706E-2</v>
      </c>
      <c r="AS118" s="80">
        <f t="shared" si="47"/>
        <v>-2.9945369473017236E-2</v>
      </c>
      <c r="AT118" s="178">
        <f t="shared" si="17"/>
        <v>77.163395660460807</v>
      </c>
      <c r="AU118" s="80">
        <f t="shared" si="48"/>
        <v>-5.2704036970912041E-2</v>
      </c>
      <c r="AV118">
        <v>54.11</v>
      </c>
      <c r="AW118" s="79">
        <f t="shared" si="49"/>
        <v>5.1746442432083007E-3</v>
      </c>
      <c r="AX118" s="79">
        <f t="shared" si="50"/>
        <v>1.6363109098749677E-3</v>
      </c>
      <c r="AZ118" s="307">
        <f t="shared" si="51"/>
        <v>-8.4679944596565193E-2</v>
      </c>
      <c r="BA118" s="244" t="s">
        <v>190</v>
      </c>
    </row>
    <row r="119" spans="2:53">
      <c r="B119" s="267">
        <v>43477</v>
      </c>
      <c r="C119">
        <v>57.06</v>
      </c>
      <c r="D119" s="79">
        <f t="shared" si="18"/>
        <v>-8.0616894497020832E-3</v>
      </c>
      <c r="E119" s="79">
        <f t="shared" si="19"/>
        <v>-1.1600022783035416E-2</v>
      </c>
      <c r="F119" s="258">
        <v>92.39</v>
      </c>
      <c r="G119" s="79">
        <f t="shared" si="20"/>
        <v>8.7130641844355414E-2</v>
      </c>
      <c r="H119" s="79">
        <f t="shared" si="21"/>
        <v>8.3592308511022076E-2</v>
      </c>
      <c r="I119" s="79">
        <f t="shared" si="22"/>
        <v>-1.3472562766444001E-2</v>
      </c>
      <c r="J119" s="80">
        <f t="shared" si="23"/>
        <v>8.344403179135737E-2</v>
      </c>
      <c r="K119">
        <v>27.89</v>
      </c>
      <c r="L119" s="79">
        <f t="shared" si="24"/>
        <v>0.5550376479024739</v>
      </c>
      <c r="M119" s="79">
        <f t="shared" si="25"/>
        <v>0.55149931456914059</v>
      </c>
      <c r="N119" s="79">
        <f t="shared" si="26"/>
        <v>-2.071633345987375E-2</v>
      </c>
      <c r="O119" s="80">
        <f t="shared" si="52"/>
        <v>0.55859480854290566</v>
      </c>
      <c r="P119">
        <v>280.05</v>
      </c>
      <c r="Q119" s="79">
        <f t="shared" si="27"/>
        <v>3.9457239778611E-2</v>
      </c>
      <c r="R119" s="79">
        <f t="shared" si="28"/>
        <v>3.5918906445277669E-2</v>
      </c>
      <c r="S119" s="79">
        <f t="shared" si="53"/>
        <v>-8.583361684445092E-3</v>
      </c>
      <c r="T119" s="80">
        <f t="shared" si="54"/>
        <v>3.4109062966318202E-2</v>
      </c>
      <c r="U119">
        <v>323.57</v>
      </c>
      <c r="V119" s="79">
        <f t="shared" si="29"/>
        <v>6.6508019902957571E-2</v>
      </c>
      <c r="W119" s="79">
        <f t="shared" si="30"/>
        <v>6.2969686569624234E-2</v>
      </c>
      <c r="X119" s="79">
        <f t="shared" si="55"/>
        <v>-1.3324002554908419E-2</v>
      </c>
      <c r="Y119" s="80">
        <f t="shared" si="31"/>
        <v>5.5597687752902379E-2</v>
      </c>
      <c r="Z119" s="269">
        <v>2053.73</v>
      </c>
      <c r="AA119" s="79">
        <f t="shared" si="32"/>
        <v>-0.1086705652641779</v>
      </c>
      <c r="AB119" s="79">
        <f t="shared" si="33"/>
        <v>-0.11220889859751124</v>
      </c>
      <c r="AC119" s="79">
        <f t="shared" si="34"/>
        <v>-1.1658274613620947E-2</v>
      </c>
      <c r="AD119" s="80">
        <f t="shared" si="35"/>
        <v>-0.10667644248094332</v>
      </c>
      <c r="AE119">
        <v>218.38</v>
      </c>
      <c r="AF119" s="79">
        <f t="shared" si="36"/>
        <v>4.4509570473486582E-2</v>
      </c>
      <c r="AG119" s="79">
        <f t="shared" si="37"/>
        <v>4.0971237140153251E-2</v>
      </c>
      <c r="AH119" s="79">
        <f t="shared" si="38"/>
        <v>-9.8992392714498233E-3</v>
      </c>
      <c r="AI119" s="80">
        <f t="shared" si="39"/>
        <v>4.7219121549996385E-2</v>
      </c>
      <c r="AJ119">
        <v>87.92</v>
      </c>
      <c r="AK119" s="79">
        <f t="shared" si="40"/>
        <v>-3.5145586897179289E-2</v>
      </c>
      <c r="AL119" s="79">
        <f t="shared" si="41"/>
        <v>-3.868392023051262E-2</v>
      </c>
      <c r="AM119" s="79">
        <f t="shared" si="42"/>
        <v>-8.5300206790272885E-3</v>
      </c>
      <c r="AN119" s="80">
        <f t="shared" si="43"/>
        <v>-3.1272305958738936E-2</v>
      </c>
      <c r="AO119">
        <v>39.61</v>
      </c>
      <c r="AP119" s="79">
        <f t="shared" si="44"/>
        <v>-3.6606917445089697E-2</v>
      </c>
      <c r="AQ119" s="79">
        <f t="shared" si="45"/>
        <v>-4.0145250778423028E-2</v>
      </c>
      <c r="AR119" s="79">
        <f t="shared" si="46"/>
        <v>-5.3498798787631578E-3</v>
      </c>
      <c r="AS119" s="80">
        <f t="shared" si="47"/>
        <v>-4.0015395282699137E-2</v>
      </c>
      <c r="AT119" s="178">
        <f t="shared" si="17"/>
        <v>81.456481049198146</v>
      </c>
      <c r="AU119" s="80">
        <f t="shared" si="48"/>
        <v>3.1559739481981361E-2</v>
      </c>
      <c r="AV119">
        <v>53.63</v>
      </c>
      <c r="AW119" s="79">
        <f t="shared" si="49"/>
        <v>8.9502144322207138E-3</v>
      </c>
      <c r="AX119" s="79">
        <f t="shared" si="50"/>
        <v>5.4118810988873813E-3</v>
      </c>
      <c r="AZ119" s="307">
        <f t="shared" si="51"/>
        <v>-1.7011903881922797E-2</v>
      </c>
      <c r="BA119" s="244" t="s">
        <v>191</v>
      </c>
    </row>
    <row r="120" spans="2:53">
      <c r="B120" s="267">
        <v>43476</v>
      </c>
      <c r="C120">
        <v>56.39</v>
      </c>
      <c r="D120" s="79">
        <f t="shared" si="18"/>
        <v>1.1881539280014217E-2</v>
      </c>
      <c r="E120" s="79">
        <f t="shared" si="19"/>
        <v>8.3432059466808841E-3</v>
      </c>
      <c r="F120" s="258">
        <v>90.04</v>
      </c>
      <c r="G120" s="79">
        <f t="shared" si="20"/>
        <v>2.6099511328298471E-2</v>
      </c>
      <c r="H120" s="79">
        <f t="shared" si="21"/>
        <v>2.2561177994965136E-2</v>
      </c>
      <c r="I120" s="79">
        <f t="shared" si="22"/>
        <v>9.6900125019076765E-3</v>
      </c>
      <c r="J120" s="80">
        <f t="shared" si="23"/>
        <v>-7.4967399305123951E-4</v>
      </c>
      <c r="K120">
        <v>22</v>
      </c>
      <c r="L120" s="79">
        <f t="shared" si="24"/>
        <v>0.26772727272727276</v>
      </c>
      <c r="M120" s="79">
        <f t="shared" si="25"/>
        <v>0.26418893939393945</v>
      </c>
      <c r="N120" s="79">
        <f t="shared" si="26"/>
        <v>1.4900025607588942E-2</v>
      </c>
      <c r="O120" s="80">
        <f t="shared" si="52"/>
        <v>0.23566807430024181</v>
      </c>
      <c r="P120">
        <v>285.66000000000003</v>
      </c>
      <c r="Q120" s="79">
        <f t="shared" si="27"/>
        <v>-1.9638731358958248E-2</v>
      </c>
      <c r="R120" s="79">
        <f t="shared" si="28"/>
        <v>-2.3177064692291582E-2</v>
      </c>
      <c r="S120" s="79">
        <f t="shared" si="53"/>
        <v>6.1735011721620082E-3</v>
      </c>
      <c r="T120" s="80">
        <f t="shared" si="54"/>
        <v>-3.9743771027858144E-2</v>
      </c>
      <c r="U120">
        <v>314.66000000000003</v>
      </c>
      <c r="V120" s="79">
        <f t="shared" si="29"/>
        <v>2.8316277887243269E-2</v>
      </c>
      <c r="W120" s="79">
        <f t="shared" si="30"/>
        <v>2.4777944553909935E-2</v>
      </c>
      <c r="X120" s="79">
        <f t="shared" si="55"/>
        <v>9.5831619841538224E-3</v>
      </c>
      <c r="Y120" s="80">
        <f t="shared" si="31"/>
        <v>-5.5012188018741647E-3</v>
      </c>
      <c r="Z120" s="269">
        <v>1904.03</v>
      </c>
      <c r="AA120" s="79">
        <f t="shared" si="32"/>
        <v>7.8622710776615937E-2</v>
      </c>
      <c r="AB120" s="79">
        <f t="shared" si="33"/>
        <v>7.5084377443282599E-2</v>
      </c>
      <c r="AC120" s="79">
        <f t="shared" si="34"/>
        <v>8.38510302123293E-3</v>
      </c>
      <c r="AD120" s="80">
        <f t="shared" si="35"/>
        <v>6.057345592499664E-2</v>
      </c>
      <c r="AE120">
        <v>220.51</v>
      </c>
      <c r="AF120" s="79">
        <f t="shared" si="36"/>
        <v>-9.6594258763774681E-3</v>
      </c>
      <c r="AG120" s="79">
        <f t="shared" si="37"/>
        <v>-1.3197759209710801E-2</v>
      </c>
      <c r="AH120" s="79">
        <f t="shared" si="38"/>
        <v>7.119933598575671E-3</v>
      </c>
      <c r="AI120" s="80">
        <f t="shared" si="39"/>
        <v>-2.3969047669893162E-2</v>
      </c>
      <c r="AJ120">
        <v>85.43</v>
      </c>
      <c r="AK120" s="79">
        <f t="shared" si="40"/>
        <v>2.9146669788130571E-2</v>
      </c>
      <c r="AL120" s="79">
        <f t="shared" si="41"/>
        <v>2.5608336454797237E-2</v>
      </c>
      <c r="AM120" s="79">
        <f t="shared" si="42"/>
        <v>6.1351361618574947E-3</v>
      </c>
      <c r="AN120" s="80">
        <f t="shared" si="43"/>
        <v>1.8354793885686144E-2</v>
      </c>
      <c r="AO120">
        <v>39.700000000000003</v>
      </c>
      <c r="AP120" s="79">
        <f t="shared" si="44"/>
        <v>-2.2670025188917735E-3</v>
      </c>
      <c r="AQ120" s="79">
        <f t="shared" si="45"/>
        <v>-5.8053358522251065E-3</v>
      </c>
      <c r="AR120" s="79">
        <f t="shared" si="46"/>
        <v>3.8478501683464244E-3</v>
      </c>
      <c r="AS120" s="80">
        <f t="shared" si="47"/>
        <v>-1.4873210403610792E-2</v>
      </c>
      <c r="AT120" s="178">
        <f t="shared" ref="AT120:AT174" si="56">AT121*(1+AU120)</f>
        <v>78.964385610961486</v>
      </c>
      <c r="AU120" s="80">
        <f t="shared" si="48"/>
        <v>1.4615028946481784E-2</v>
      </c>
      <c r="AV120">
        <v>53.69</v>
      </c>
      <c r="AW120" s="79">
        <f t="shared" si="49"/>
        <v>-1.1175265412552648E-3</v>
      </c>
      <c r="AX120" s="79">
        <f t="shared" si="50"/>
        <v>-4.6558598745885978E-3</v>
      </c>
      <c r="AZ120" s="307">
        <f t="shared" si="51"/>
        <v>1.2999065821269482E-2</v>
      </c>
      <c r="BA120" s="244" t="s">
        <v>192</v>
      </c>
    </row>
    <row r="121" spans="2:53">
      <c r="B121" s="267">
        <v>43475</v>
      </c>
      <c r="C121">
        <v>54.96</v>
      </c>
      <c r="D121" s="79">
        <f t="shared" si="18"/>
        <v>2.6018922852983982E-2</v>
      </c>
      <c r="E121" s="79">
        <f t="shared" si="19"/>
        <v>2.2480589519650648E-2</v>
      </c>
      <c r="F121" s="258">
        <v>88.83</v>
      </c>
      <c r="G121" s="79">
        <f t="shared" si="20"/>
        <v>1.3621524259822222E-2</v>
      </c>
      <c r="H121" s="79">
        <f t="shared" si="21"/>
        <v>1.008319092648889E-2</v>
      </c>
      <c r="I121" s="79">
        <f t="shared" si="22"/>
        <v>2.6109530903085286E-2</v>
      </c>
      <c r="J121" s="80">
        <f t="shared" si="23"/>
        <v>-2.9647179462705096E-2</v>
      </c>
      <c r="K121">
        <v>20.99</v>
      </c>
      <c r="L121" s="79">
        <f t="shared" si="24"/>
        <v>4.8118151500714704E-2</v>
      </c>
      <c r="M121" s="79">
        <f t="shared" si="25"/>
        <v>4.4579818167381373E-2</v>
      </c>
      <c r="N121" s="79">
        <f t="shared" si="26"/>
        <v>4.0147799497835174E-2</v>
      </c>
      <c r="O121" s="80">
        <f t="shared" si="52"/>
        <v>-9.1888208165624985E-3</v>
      </c>
      <c r="P121">
        <v>283.08999999999997</v>
      </c>
      <c r="Q121" s="79">
        <f t="shared" si="27"/>
        <v>9.0783849659120779E-3</v>
      </c>
      <c r="R121" s="79">
        <f t="shared" si="28"/>
        <v>5.5400516325787453E-3</v>
      </c>
      <c r="S121" s="79">
        <f t="shared" si="53"/>
        <v>1.6634366529771166E-2</v>
      </c>
      <c r="T121" s="80">
        <f t="shared" si="54"/>
        <v>-2.1487520060596982E-2</v>
      </c>
      <c r="U121">
        <v>287.41000000000003</v>
      </c>
      <c r="V121" s="79">
        <f t="shared" si="29"/>
        <v>9.4812289064402755E-2</v>
      </c>
      <c r="W121" s="79">
        <f t="shared" si="30"/>
        <v>9.1273955731069417E-2</v>
      </c>
      <c r="X121" s="79">
        <f t="shared" si="55"/>
        <v>2.5821624474197225E-2</v>
      </c>
      <c r="Y121" s="80">
        <f t="shared" si="31"/>
        <v>4.4756329885241919E-2</v>
      </c>
      <c r="Z121" s="269">
        <v>2048.77</v>
      </c>
      <c r="AA121" s="79">
        <f t="shared" si="32"/>
        <v>-7.0647266408625675E-2</v>
      </c>
      <c r="AB121" s="79">
        <f t="shared" si="33"/>
        <v>-7.4185599741959013E-2</v>
      </c>
      <c r="AC121" s="79">
        <f t="shared" si="34"/>
        <v>2.2593480288630577E-2</v>
      </c>
      <c r="AD121" s="80">
        <f t="shared" si="35"/>
        <v>-0.10290489852764262</v>
      </c>
      <c r="AE121">
        <v>234.58</v>
      </c>
      <c r="AF121" s="79">
        <f t="shared" si="36"/>
        <v>-5.9979537897519059E-2</v>
      </c>
      <c r="AG121" s="79">
        <f t="shared" si="37"/>
        <v>-6.3517871230852396E-2</v>
      </c>
      <c r="AH121" s="79">
        <f t="shared" si="38"/>
        <v>1.9184508408356424E-2</v>
      </c>
      <c r="AI121" s="80">
        <f t="shared" si="39"/>
        <v>-8.6353734500815515E-2</v>
      </c>
      <c r="AJ121">
        <v>84.56</v>
      </c>
      <c r="AK121" s="79">
        <f t="shared" si="40"/>
        <v>1.0288552507095606E-2</v>
      </c>
      <c r="AL121" s="79">
        <f t="shared" si="41"/>
        <v>6.7502191737622737E-3</v>
      </c>
      <c r="AM121" s="79">
        <f t="shared" si="42"/>
        <v>1.653099283216802E-2</v>
      </c>
      <c r="AN121" s="80">
        <f t="shared" si="43"/>
        <v>-1.0899180065659344E-2</v>
      </c>
      <c r="AO121">
        <v>39.090000000000003</v>
      </c>
      <c r="AP121" s="79">
        <f t="shared" si="44"/>
        <v>1.5605014070094637E-2</v>
      </c>
      <c r="AQ121" s="79">
        <f t="shared" si="45"/>
        <v>1.2066680736761305E-2</v>
      </c>
      <c r="AR121" s="79">
        <f t="shared" si="46"/>
        <v>1.0367949769012598E-2</v>
      </c>
      <c r="AS121" s="80">
        <f t="shared" si="47"/>
        <v>-3.5212934152905545E-3</v>
      </c>
      <c r="AT121" s="178">
        <f t="shared" si="56"/>
        <v>77.82694259216089</v>
      </c>
      <c r="AU121" s="80">
        <f t="shared" si="48"/>
        <v>-4.3124744440560976E-3</v>
      </c>
      <c r="AV121">
        <v>53.78</v>
      </c>
      <c r="AW121" s="79">
        <f t="shared" si="49"/>
        <v>-1.6734845667535033E-3</v>
      </c>
      <c r="AX121" s="79">
        <f t="shared" si="50"/>
        <v>-5.2118179000868363E-3</v>
      </c>
      <c r="AZ121" s="307">
        <f t="shared" si="51"/>
        <v>2.7692407419737483E-2</v>
      </c>
    </row>
    <row r="122" spans="2:53">
      <c r="B122" s="267">
        <v>43474</v>
      </c>
      <c r="C122">
        <v>54.35</v>
      </c>
      <c r="D122" s="79">
        <f t="shared" ref="D122:D176" si="57">(C121-C122)/C122</f>
        <v>1.1223551057957672E-2</v>
      </c>
      <c r="E122" s="79">
        <f t="shared" ref="E122:E176" si="58">D122-$E$7/12</f>
        <v>7.6852177246243391E-3</v>
      </c>
      <c r="F122" s="258">
        <v>86.8</v>
      </c>
      <c r="G122" s="79">
        <f t="shared" ref="G122:G176" si="59">(F121-F122)/F122</f>
        <v>2.3387096774193563E-2</v>
      </c>
      <c r="H122" s="79">
        <f t="shared" ref="H122:H176" si="60">G122-$E$7/12</f>
        <v>1.9848763440860229E-2</v>
      </c>
      <c r="I122" s="79">
        <f t="shared" ref="I122:I176" si="61">$G$17*E122</f>
        <v>8.9258081734297952E-3</v>
      </c>
      <c r="J122" s="80">
        <f t="shared" ref="J122:J176" si="62">H122-$G$13/12-I122</f>
        <v>-2.6978842186782658E-3</v>
      </c>
      <c r="K122">
        <v>16.059999999999999</v>
      </c>
      <c r="L122" s="79">
        <f t="shared" ref="L122:L176" si="63">(K121-K122)/K122</f>
        <v>0.30697384806973849</v>
      </c>
      <c r="M122" s="79">
        <f t="shared" ref="M122:M176" si="64">L122-$E$7/12</f>
        <v>0.30343551473640518</v>
      </c>
      <c r="N122" s="79">
        <f t="shared" ref="N122:N176" si="65">$H$17*E122</f>
        <v>1.3724932793053457E-2</v>
      </c>
      <c r="O122" s="80">
        <f t="shared" ref="O122:O176" si="66">M122-$G$13/12-N122</f>
        <v>0.27608974245724299</v>
      </c>
      <c r="P122">
        <v>274.51</v>
      </c>
      <c r="Q122" s="79">
        <f t="shared" ref="Q122:Q176" si="67">(P121-P122)/P122</f>
        <v>3.1255691960219968E-2</v>
      </c>
      <c r="R122" s="79">
        <f t="shared" ref="R122:R176" si="68">Q122-$E$7/12</f>
        <v>2.7717358626886634E-2</v>
      </c>
      <c r="S122" s="79">
        <f t="shared" si="53"/>
        <v>5.6866270513390811E-3</v>
      </c>
      <c r="T122" s="80">
        <f t="shared" si="54"/>
        <v>1.1637526412142992E-2</v>
      </c>
      <c r="U122">
        <v>267.62</v>
      </c>
      <c r="V122" s="79">
        <f t="shared" ref="V122:V176" si="69">(U121-U122)/U122</f>
        <v>7.394813541588828E-2</v>
      </c>
      <c r="W122" s="79">
        <f t="shared" ref="W122:W176" si="70">V122-$E$7/12</f>
        <v>7.0409802082554943E-2</v>
      </c>
      <c r="X122" s="79">
        <f t="shared" ref="X122:X176" si="71">E122*$J$17</f>
        <v>8.8273844382163701E-3</v>
      </c>
      <c r="Y122" s="80">
        <f t="shared" ref="Y122:Y176" si="72">W122-$J$13/12-X122</f>
        <v>4.0886416272708295E-2</v>
      </c>
      <c r="Z122" s="269">
        <v>1962.61</v>
      </c>
      <c r="AA122" s="79">
        <f t="shared" ref="AA122:AA176" si="73">(Z121-Z122)/Z122</f>
        <v>4.3900724035850262E-2</v>
      </c>
      <c r="AB122" s="79">
        <f t="shared" ref="AB122:AB176" si="74">AA122-$E$7/12</f>
        <v>4.0362390702516932E-2</v>
      </c>
      <c r="AC122" s="79">
        <f t="shared" ref="AC122:AC176" si="75">E122*$K$17</f>
        <v>7.7238105799385939E-3</v>
      </c>
      <c r="AD122" s="80">
        <f t="shared" ref="AD122:AD176" si="76">AB122-$K$13/12-AC122</f>
        <v>2.6512761625525308E-2</v>
      </c>
      <c r="AE122">
        <v>232.02</v>
      </c>
      <c r="AF122" s="79">
        <f t="shared" ref="AF122:AF176" si="77">(AE121-AE122)/AE122</f>
        <v>1.1033531592104137E-2</v>
      </c>
      <c r="AG122" s="79">
        <f t="shared" ref="AG122:AG176" si="78">AF122-$E$7/12</f>
        <v>7.4951982587708049E-3</v>
      </c>
      <c r="AH122" s="79">
        <f t="shared" ref="AH122:AH176" si="79">E122*$L$17</f>
        <v>6.5584189386683244E-3</v>
      </c>
      <c r="AI122" s="80">
        <f t="shared" ref="AI122:AI176" si="80">AG122-$L$13/12-AH122</f>
        <v>-2.7145755415042125E-3</v>
      </c>
      <c r="AJ122">
        <v>88.42</v>
      </c>
      <c r="AK122" s="79">
        <f t="shared" ref="AK122:AK176" si="81">(AJ121-AJ122)/AJ122</f>
        <v>-4.3655281610495353E-2</v>
      </c>
      <c r="AL122" s="79">
        <f t="shared" ref="AL122:AL176" si="82">AK122-$E$7/12</f>
        <v>-4.7193614943828684E-2</v>
      </c>
      <c r="AM122" s="79">
        <f t="shared" ref="AM122:AM176" si="83">E122*$M$17</f>
        <v>5.6512877034814455E-3</v>
      </c>
      <c r="AN122" s="80">
        <f t="shared" ref="AN122:AN176" si="84">AL122-$M$13/12-AM122</f>
        <v>-5.396330905456373E-2</v>
      </c>
      <c r="AO122">
        <v>39.56</v>
      </c>
      <c r="AP122" s="79">
        <f t="shared" ref="AP122:AP176" si="85">(AO121-AO122)/AO122</f>
        <v>-1.1880687563195116E-2</v>
      </c>
      <c r="AQ122" s="79">
        <f t="shared" ref="AQ122:AQ176" si="86">AP122-$E$7/12</f>
        <v>-1.5419020896528449E-2</v>
      </c>
      <c r="AR122" s="79">
        <f t="shared" ref="AR122:AR176" si="87">E122*$N$17</f>
        <v>3.5443888721503904E-3</v>
      </c>
      <c r="AS122" s="80">
        <f t="shared" ref="AS122:AS176" si="88">AQ122-$N$13/12-AR122</f>
        <v>-2.41834341517181E-2</v>
      </c>
      <c r="AT122" s="178">
        <f t="shared" si="56"/>
        <v>78.164022943549568</v>
      </c>
      <c r="AU122" s="80">
        <f t="shared" ref="AU122:AU174" si="89">$F$32*E122+$G$32*H122+$H$32*M122+$I$32*R122+$J$32*W122+$K$32*AB122+$L$32*AG122+$M$32*AL122+$N$32*AQ122</f>
        <v>2.6944189093982746E-2</v>
      </c>
      <c r="AV122">
        <v>53.67</v>
      </c>
      <c r="AW122" s="79">
        <f t="shared" ref="AW122:AW176" si="90">(AV121-AV122)/AV122</f>
        <v>2.0495621389975669E-3</v>
      </c>
      <c r="AX122" s="79">
        <f t="shared" ref="AX122:AX176" si="91">AW122-$E$7/12</f>
        <v>-1.4887711943357661E-3</v>
      </c>
      <c r="AZ122" s="307">
        <f t="shared" ref="AZ122:AZ176" si="92">E122-AX122</f>
        <v>9.1739889189601052E-3</v>
      </c>
    </row>
    <row r="123" spans="2:53">
      <c r="B123" s="267">
        <v>43473</v>
      </c>
      <c r="C123">
        <v>54.65</v>
      </c>
      <c r="D123" s="79">
        <f t="shared" si="57"/>
        <v>-5.4894784995424915E-3</v>
      </c>
      <c r="E123" s="79">
        <f t="shared" si="58"/>
        <v>-9.027811832875824E-3</v>
      </c>
      <c r="F123" s="258">
        <v>88.81</v>
      </c>
      <c r="G123" s="79">
        <f t="shared" si="59"/>
        <v>-2.2632586420448204E-2</v>
      </c>
      <c r="H123" s="79">
        <f t="shared" si="60"/>
        <v>-2.6170919753781538E-2</v>
      </c>
      <c r="I123" s="79">
        <f t="shared" si="61"/>
        <v>-1.048513126542659E-2</v>
      </c>
      <c r="J123" s="80">
        <f t="shared" si="62"/>
        <v>-2.9306627974463643E-2</v>
      </c>
      <c r="K123">
        <v>15.04</v>
      </c>
      <c r="L123" s="79">
        <f t="shared" si="63"/>
        <v>6.7819148936170193E-2</v>
      </c>
      <c r="M123" s="79">
        <f t="shared" si="64"/>
        <v>6.4280815602836855E-2</v>
      </c>
      <c r="N123" s="79">
        <f t="shared" si="65"/>
        <v>-1.6122654570675819E-2</v>
      </c>
      <c r="O123" s="80">
        <f t="shared" si="66"/>
        <v>6.6782630687403977E-2</v>
      </c>
      <c r="P123">
        <v>280.85000000000002</v>
      </c>
      <c r="Q123" s="79">
        <f t="shared" si="67"/>
        <v>-2.2574327933060464E-2</v>
      </c>
      <c r="R123" s="79">
        <f t="shared" si="68"/>
        <v>-2.6112661266393798E-2</v>
      </c>
      <c r="S123" s="79">
        <f t="shared" ref="S123:S176" si="93">E123*$I$17</f>
        <v>-6.680070861068566E-3</v>
      </c>
      <c r="T123" s="80">
        <f t="shared" ref="T123:T176" si="94">R123-$I$13/12-S123</f>
        <v>-2.9825795568729795E-2</v>
      </c>
      <c r="U123">
        <v>293.75</v>
      </c>
      <c r="V123" s="79">
        <f t="shared" si="69"/>
        <v>-8.8953191489361691E-2</v>
      </c>
      <c r="W123" s="79">
        <f t="shared" si="70"/>
        <v>-9.2491524822695029E-2</v>
      </c>
      <c r="X123" s="79">
        <f t="shared" si="71"/>
        <v>-1.0369513075645371E-2</v>
      </c>
      <c r="Y123" s="80">
        <f t="shared" si="72"/>
        <v>-0.10281801311867993</v>
      </c>
      <c r="Z123" s="269">
        <v>1966.41</v>
      </c>
      <c r="AA123" s="79">
        <f t="shared" si="73"/>
        <v>-1.9324555916620551E-3</v>
      </c>
      <c r="AB123" s="79">
        <f t="shared" si="74"/>
        <v>-5.4707889249953883E-3</v>
      </c>
      <c r="AC123" s="79">
        <f t="shared" si="75"/>
        <v>-9.0731467925808888E-3</v>
      </c>
      <c r="AD123" s="80">
        <f t="shared" si="76"/>
        <v>-2.5234606294675301E-3</v>
      </c>
      <c r="AE123">
        <v>227.91</v>
      </c>
      <c r="AF123" s="79">
        <f t="shared" si="77"/>
        <v>1.8033434250362045E-2</v>
      </c>
      <c r="AG123" s="79">
        <f t="shared" si="78"/>
        <v>1.4495100917028712E-2</v>
      </c>
      <c r="AH123" s="79">
        <f t="shared" si="79"/>
        <v>-7.7041632678482063E-3</v>
      </c>
      <c r="AI123" s="80">
        <f t="shared" si="80"/>
        <v>1.8547909323270224E-2</v>
      </c>
      <c r="AJ123">
        <v>96.56</v>
      </c>
      <c r="AK123" s="79">
        <f t="shared" si="81"/>
        <v>-8.4299917149958575E-2</v>
      </c>
      <c r="AL123" s="79">
        <f t="shared" si="82"/>
        <v>-8.7838250483291913E-2</v>
      </c>
      <c r="AM123" s="79">
        <f t="shared" si="83"/>
        <v>-6.6385577908879972E-3</v>
      </c>
      <c r="AN123" s="80">
        <f t="shared" si="84"/>
        <v>-8.231809909965751E-2</v>
      </c>
      <c r="AO123">
        <v>38.090000000000003</v>
      </c>
      <c r="AP123" s="79">
        <f t="shared" si="85"/>
        <v>3.8592806510895215E-2</v>
      </c>
      <c r="AQ123" s="79">
        <f t="shared" si="86"/>
        <v>3.5054473177561885E-2</v>
      </c>
      <c r="AR123" s="79">
        <f t="shared" si="87"/>
        <v>-4.1635874150692054E-3</v>
      </c>
      <c r="AS123" s="80">
        <f t="shared" si="88"/>
        <v>3.3998036209591832E-2</v>
      </c>
      <c r="AT123" s="178">
        <f t="shared" si="56"/>
        <v>76.113214110018433</v>
      </c>
      <c r="AU123" s="80">
        <f t="shared" si="89"/>
        <v>-1.4355506090665255E-2</v>
      </c>
      <c r="AV123">
        <v>53.78</v>
      </c>
      <c r="AW123" s="79">
        <f t="shared" si="90"/>
        <v>-2.0453700260319716E-3</v>
      </c>
      <c r="AX123" s="79">
        <f t="shared" si="91"/>
        <v>-5.5837033593653046E-3</v>
      </c>
      <c r="AZ123" s="307">
        <f t="shared" si="92"/>
        <v>-3.4441084735105194E-3</v>
      </c>
    </row>
    <row r="124" spans="2:53">
      <c r="B124" s="267">
        <v>43472</v>
      </c>
      <c r="C124">
        <v>54.98</v>
      </c>
      <c r="D124" s="79">
        <f t="shared" si="57"/>
        <v>-6.0021826118588275E-3</v>
      </c>
      <c r="E124" s="79">
        <f t="shared" si="58"/>
        <v>-9.5405159451921601E-3</v>
      </c>
      <c r="F124" s="258">
        <v>93.34</v>
      </c>
      <c r="G124" s="79">
        <f t="shared" si="59"/>
        <v>-4.853224769659311E-2</v>
      </c>
      <c r="H124" s="79">
        <f t="shared" si="60"/>
        <v>-5.2070581029926441E-2</v>
      </c>
      <c r="I124" s="79">
        <f t="shared" si="61"/>
        <v>-1.1080598917774451E-2</v>
      </c>
      <c r="J124" s="80">
        <f t="shared" si="62"/>
        <v>-5.4610821598260695E-2</v>
      </c>
      <c r="K124">
        <v>16.11</v>
      </c>
      <c r="L124" s="79">
        <f t="shared" si="63"/>
        <v>-6.6418373680943527E-2</v>
      </c>
      <c r="M124" s="79">
        <f t="shared" si="64"/>
        <v>-6.9956707014276864E-2</v>
      </c>
      <c r="N124" s="79">
        <f t="shared" si="65"/>
        <v>-1.7038286337582958E-2</v>
      </c>
      <c r="O124" s="80">
        <f t="shared" si="66"/>
        <v>-6.6539260162802608E-2</v>
      </c>
      <c r="P124">
        <v>262.62</v>
      </c>
      <c r="Q124" s="79">
        <f t="shared" si="67"/>
        <v>6.941588607112946E-2</v>
      </c>
      <c r="R124" s="79">
        <f t="shared" si="68"/>
        <v>6.5877552737796122E-2</v>
      </c>
      <c r="S124" s="79">
        <f t="shared" si="93"/>
        <v>-7.0594429464018258E-3</v>
      </c>
      <c r="T124" s="80">
        <f t="shared" si="94"/>
        <v>6.2543790520793396E-2</v>
      </c>
      <c r="U124">
        <v>322.99</v>
      </c>
      <c r="V124" s="79">
        <f t="shared" si="69"/>
        <v>-9.0529118548561896E-2</v>
      </c>
      <c r="W124" s="79">
        <f t="shared" si="70"/>
        <v>-9.4067451881895234E-2</v>
      </c>
      <c r="X124" s="79">
        <f t="shared" si="71"/>
        <v>-1.0958414583011838E-2</v>
      </c>
      <c r="Y124" s="80">
        <f t="shared" si="72"/>
        <v>-0.10380503867051367</v>
      </c>
      <c r="Z124" s="269">
        <v>1886.61</v>
      </c>
      <c r="AA124" s="79">
        <f t="shared" si="73"/>
        <v>4.2298090225324887E-2</v>
      </c>
      <c r="AB124" s="79">
        <f t="shared" si="74"/>
        <v>3.8759756891991556E-2</v>
      </c>
      <c r="AC124" s="79">
        <f t="shared" si="75"/>
        <v>-9.5884255509690267E-3</v>
      </c>
      <c r="AD124" s="80">
        <f t="shared" si="76"/>
        <v>4.2222363945907553E-2</v>
      </c>
      <c r="AE124">
        <v>213.69</v>
      </c>
      <c r="AF124" s="79">
        <f t="shared" si="77"/>
        <v>6.6544995086340014E-2</v>
      </c>
      <c r="AG124" s="79">
        <f t="shared" si="78"/>
        <v>6.3006661753006676E-2</v>
      </c>
      <c r="AH124" s="79">
        <f t="shared" si="79"/>
        <v>-8.14169522603524E-3</v>
      </c>
      <c r="AI124" s="80">
        <f t="shared" si="80"/>
        <v>6.7497002117435229E-2</v>
      </c>
      <c r="AJ124">
        <v>94.69</v>
      </c>
      <c r="AK124" s="79">
        <f t="shared" si="81"/>
        <v>1.9748653500897714E-2</v>
      </c>
      <c r="AL124" s="79">
        <f t="shared" si="82"/>
        <v>1.6210320167564379E-2</v>
      </c>
      <c r="AM124" s="79">
        <f t="shared" si="83"/>
        <v>-7.015572281469565E-3</v>
      </c>
      <c r="AN124" s="80">
        <f t="shared" si="84"/>
        <v>2.2107486041780346E-2</v>
      </c>
      <c r="AO124">
        <v>36.79</v>
      </c>
      <c r="AP124" s="79">
        <f t="shared" si="85"/>
        <v>3.5335689045936515E-2</v>
      </c>
      <c r="AQ124" s="79">
        <f t="shared" si="86"/>
        <v>3.1797355712603184E-2</v>
      </c>
      <c r="AR124" s="79">
        <f t="shared" si="87"/>
        <v>-4.4000443139514799E-3</v>
      </c>
      <c r="AS124" s="80">
        <f t="shared" si="88"/>
        <v>3.0977375643515402E-2</v>
      </c>
      <c r="AT124" s="178">
        <f t="shared" si="56"/>
        <v>77.221771724339149</v>
      </c>
      <c r="AU124" s="80">
        <f t="shared" si="89"/>
        <v>1.122427311334051E-2</v>
      </c>
      <c r="AV124">
        <v>53.37</v>
      </c>
      <c r="AW124" s="79">
        <f t="shared" si="90"/>
        <v>7.6822184747986459E-3</v>
      </c>
      <c r="AX124" s="79">
        <f t="shared" si="91"/>
        <v>4.1438851414653134E-3</v>
      </c>
      <c r="AZ124" s="307">
        <f t="shared" si="92"/>
        <v>-1.3684401086657473E-2</v>
      </c>
    </row>
    <row r="125" spans="2:53">
      <c r="B125" s="267">
        <v>43471</v>
      </c>
      <c r="C125">
        <v>54.43</v>
      </c>
      <c r="D125" s="79">
        <f t="shared" si="57"/>
        <v>1.0104721660848744E-2</v>
      </c>
      <c r="E125" s="79">
        <f t="shared" si="58"/>
        <v>6.5663883275154118E-3</v>
      </c>
      <c r="F125" s="258">
        <v>94.68</v>
      </c>
      <c r="G125" s="79">
        <f t="shared" si="59"/>
        <v>-1.4152936206168181E-2</v>
      </c>
      <c r="H125" s="79">
        <f t="shared" si="60"/>
        <v>-1.7691269539501515E-2</v>
      </c>
      <c r="I125" s="79">
        <f t="shared" si="61"/>
        <v>7.6263711327080198E-3</v>
      </c>
      <c r="J125" s="80">
        <f t="shared" si="62"/>
        <v>-3.8938480158318231E-2</v>
      </c>
      <c r="K125">
        <v>14.9</v>
      </c>
      <c r="L125" s="79">
        <f t="shared" si="63"/>
        <v>8.1208053691275109E-2</v>
      </c>
      <c r="M125" s="79">
        <f t="shared" si="64"/>
        <v>7.7669720357941771E-2</v>
      </c>
      <c r="N125" s="79">
        <f t="shared" si="65"/>
        <v>1.1726829573022284E-2</v>
      </c>
      <c r="O125" s="80">
        <f t="shared" si="66"/>
        <v>5.2322051298810783E-2</v>
      </c>
      <c r="P125">
        <v>251.79</v>
      </c>
      <c r="Q125" s="79">
        <f t="shared" si="67"/>
        <v>4.3012033837721959E-2</v>
      </c>
      <c r="R125" s="79">
        <f t="shared" si="68"/>
        <v>3.9473700504388629E-2</v>
      </c>
      <c r="S125" s="79">
        <f t="shared" si="93"/>
        <v>4.8587564895139742E-3</v>
      </c>
      <c r="T125" s="80">
        <f t="shared" si="94"/>
        <v>2.4221738851470095E-2</v>
      </c>
      <c r="U125">
        <v>367.32</v>
      </c>
      <c r="V125" s="79">
        <f t="shared" si="69"/>
        <v>-0.12068496134160946</v>
      </c>
      <c r="W125" s="79">
        <f t="shared" si="70"/>
        <v>-0.12422329467494279</v>
      </c>
      <c r="X125" s="79">
        <f t="shared" si="71"/>
        <v>7.5422761221027729E-3</v>
      </c>
      <c r="Y125" s="80">
        <f t="shared" si="72"/>
        <v>-0.15246157216867584</v>
      </c>
      <c r="Z125" s="269">
        <v>1874.71</v>
      </c>
      <c r="AA125" s="79">
        <f t="shared" si="73"/>
        <v>6.3476484362914067E-3</v>
      </c>
      <c r="AB125" s="79">
        <f t="shared" si="74"/>
        <v>2.8093151029580737E-3</v>
      </c>
      <c r="AC125" s="79">
        <f t="shared" si="75"/>
        <v>6.5993627576150351E-3</v>
      </c>
      <c r="AD125" s="80">
        <f t="shared" si="76"/>
        <v>-9.9158661517099924E-3</v>
      </c>
      <c r="AE125">
        <v>207.97</v>
      </c>
      <c r="AF125" s="79">
        <f t="shared" si="77"/>
        <v>2.750396691830552E-2</v>
      </c>
      <c r="AG125" s="79">
        <f t="shared" si="78"/>
        <v>2.3965633584972185E-2</v>
      </c>
      <c r="AH125" s="79">
        <f t="shared" si="79"/>
        <v>5.6036311668623238E-3</v>
      </c>
      <c r="AI125" s="80">
        <f t="shared" si="80"/>
        <v>1.4710647556503167E-2</v>
      </c>
      <c r="AJ125">
        <v>83.83</v>
      </c>
      <c r="AK125" s="79">
        <f t="shared" si="81"/>
        <v>0.129547894548491</v>
      </c>
      <c r="AL125" s="79">
        <f t="shared" si="82"/>
        <v>0.12600956121515766</v>
      </c>
      <c r="AM125" s="79">
        <f t="shared" si="83"/>
        <v>4.8285619147355836E-3</v>
      </c>
      <c r="AN125" s="80">
        <f t="shared" si="84"/>
        <v>0.12006259289316848</v>
      </c>
      <c r="AO125">
        <v>36.83</v>
      </c>
      <c r="AP125" s="79">
        <f t="shared" si="85"/>
        <v>-1.0860711376594937E-3</v>
      </c>
      <c r="AQ125" s="79">
        <f t="shared" si="86"/>
        <v>-4.6244044709928267E-3</v>
      </c>
      <c r="AR125" s="79">
        <f t="shared" si="87"/>
        <v>3.0283896373803107E-3</v>
      </c>
      <c r="AS125" s="80">
        <f t="shared" si="88"/>
        <v>-1.2872818491412398E-2</v>
      </c>
      <c r="AT125" s="178">
        <f t="shared" si="56"/>
        <v>76.36463421372396</v>
      </c>
      <c r="AU125" s="80">
        <f t="shared" si="89"/>
        <v>-5.2984824790861321E-4</v>
      </c>
      <c r="AV125">
        <v>53.44</v>
      </c>
      <c r="AW125" s="79">
        <f t="shared" si="90"/>
        <v>-1.3098802395209634E-3</v>
      </c>
      <c r="AX125" s="79">
        <f t="shared" si="91"/>
        <v>-4.8482135728542966E-3</v>
      </c>
      <c r="AZ125" s="307">
        <f t="shared" si="92"/>
        <v>1.1414601900369709E-2</v>
      </c>
    </row>
    <row r="126" spans="2:53">
      <c r="B126" s="267">
        <v>43470</v>
      </c>
      <c r="C126">
        <v>51.03</v>
      </c>
      <c r="D126" s="79">
        <f t="shared" si="57"/>
        <v>6.6627474034881409E-2</v>
      </c>
      <c r="E126" s="79">
        <f t="shared" si="58"/>
        <v>6.3089140701548072E-2</v>
      </c>
      <c r="F126" s="258">
        <v>88.75</v>
      </c>
      <c r="G126" s="79">
        <f t="shared" si="59"/>
        <v>6.6816901408450785E-2</v>
      </c>
      <c r="H126" s="79">
        <f t="shared" si="60"/>
        <v>6.3278568075117447E-2</v>
      </c>
      <c r="I126" s="79">
        <f t="shared" si="61"/>
        <v>7.3273339533925314E-2</v>
      </c>
      <c r="J126" s="80">
        <f t="shared" si="62"/>
        <v>-2.3615610944916564E-2</v>
      </c>
      <c r="K126">
        <v>12.34</v>
      </c>
      <c r="L126" s="79">
        <f t="shared" si="63"/>
        <v>0.20745542949756893</v>
      </c>
      <c r="M126" s="79">
        <f t="shared" si="64"/>
        <v>0.20391709616423559</v>
      </c>
      <c r="N126" s="79">
        <f t="shared" si="65"/>
        <v>0.11267009564684342</v>
      </c>
      <c r="O126" s="80">
        <f t="shared" si="66"/>
        <v>7.7626161031283461E-2</v>
      </c>
      <c r="P126">
        <v>228.27</v>
      </c>
      <c r="Q126" s="79">
        <f t="shared" si="67"/>
        <v>0.10303587856485732</v>
      </c>
      <c r="R126" s="79">
        <f t="shared" si="68"/>
        <v>9.9497545231523987E-2</v>
      </c>
      <c r="S126" s="79">
        <f t="shared" si="93"/>
        <v>4.6682400813400179E-2</v>
      </c>
      <c r="T126" s="80">
        <f t="shared" si="94"/>
        <v>4.2421939254719251E-2</v>
      </c>
      <c r="U126">
        <v>343.28</v>
      </c>
      <c r="V126" s="79">
        <f t="shared" si="69"/>
        <v>7.0030295968305817E-2</v>
      </c>
      <c r="W126" s="79">
        <f t="shared" si="70"/>
        <v>6.6491962634972479E-2</v>
      </c>
      <c r="X126" s="79">
        <f t="shared" si="71"/>
        <v>7.2465363871849292E-2</v>
      </c>
      <c r="Y126" s="80">
        <f t="shared" si="72"/>
        <v>-2.6669402608507087E-2</v>
      </c>
      <c r="Z126" s="269">
        <v>1656.22</v>
      </c>
      <c r="AA126" s="79">
        <f t="shared" si="73"/>
        <v>0.13192088007631836</v>
      </c>
      <c r="AB126" s="79">
        <f t="shared" si="74"/>
        <v>0.12838254674298502</v>
      </c>
      <c r="AC126" s="79">
        <f t="shared" si="75"/>
        <v>6.3405955418611215E-2</v>
      </c>
      <c r="AD126" s="80">
        <f t="shared" si="76"/>
        <v>5.8850772827320777E-2</v>
      </c>
      <c r="AE126">
        <v>189.85</v>
      </c>
      <c r="AF126" s="79">
        <f t="shared" si="77"/>
        <v>9.5443771398472502E-2</v>
      </c>
      <c r="AG126" s="79">
        <f t="shared" si="78"/>
        <v>9.1905438065139164E-2</v>
      </c>
      <c r="AH126" s="79">
        <f t="shared" si="79"/>
        <v>5.3839075225623326E-2</v>
      </c>
      <c r="AI126" s="80">
        <f t="shared" si="80"/>
        <v>3.441500797790914E-2</v>
      </c>
      <c r="AJ126">
        <v>76.06</v>
      </c>
      <c r="AK126" s="79">
        <f t="shared" si="81"/>
        <v>0.10215619247962129</v>
      </c>
      <c r="AL126" s="79">
        <f t="shared" si="82"/>
        <v>9.8617859146287956E-2</v>
      </c>
      <c r="AM126" s="79">
        <f t="shared" si="83"/>
        <v>4.6392294642153054E-2</v>
      </c>
      <c r="AN126" s="80">
        <f t="shared" si="84"/>
        <v>5.1107158096881308E-2</v>
      </c>
      <c r="AO126">
        <v>33.81</v>
      </c>
      <c r="AP126" s="79">
        <f t="shared" si="85"/>
        <v>8.9322685595977391E-2</v>
      </c>
      <c r="AQ126" s="79">
        <f t="shared" si="86"/>
        <v>8.5784352262644054E-2</v>
      </c>
      <c r="AR126" s="79">
        <f t="shared" si="87"/>
        <v>2.9096436336425023E-2</v>
      </c>
      <c r="AS126" s="80">
        <f t="shared" si="88"/>
        <v>5.1467891543179774E-2</v>
      </c>
      <c r="AT126" s="178">
        <f t="shared" si="56"/>
        <v>76.405117331273189</v>
      </c>
      <c r="AU126" s="80">
        <f t="shared" si="89"/>
        <v>9.0534448398491479E-2</v>
      </c>
      <c r="AV126">
        <v>53.06</v>
      </c>
      <c r="AW126" s="79">
        <f t="shared" si="90"/>
        <v>7.1617037316244903E-3</v>
      </c>
      <c r="AX126" s="79">
        <f t="shared" si="91"/>
        <v>3.6233703982911573E-3</v>
      </c>
      <c r="AZ126" s="307">
        <f t="shared" si="92"/>
        <v>5.9465770303256914E-2</v>
      </c>
    </row>
    <row r="127" spans="2:53">
      <c r="B127" s="267">
        <v>43469</v>
      </c>
      <c r="C127">
        <v>54.32</v>
      </c>
      <c r="D127" s="79">
        <f t="shared" si="57"/>
        <v>-6.0567010309278337E-2</v>
      </c>
      <c r="E127" s="79">
        <f t="shared" si="58"/>
        <v>-6.4105343642611667E-2</v>
      </c>
      <c r="F127" s="258">
        <v>96.33</v>
      </c>
      <c r="G127" s="79">
        <f t="shared" si="59"/>
        <v>-7.8687843870030083E-2</v>
      </c>
      <c r="H127" s="79">
        <f t="shared" si="60"/>
        <v>-8.2226177203363421E-2</v>
      </c>
      <c r="I127" s="79">
        <f t="shared" si="61"/>
        <v>-7.4453583587147931E-2</v>
      </c>
      <c r="J127" s="80">
        <f t="shared" si="62"/>
        <v>-2.1393433102324194E-2</v>
      </c>
      <c r="K127">
        <v>15.91</v>
      </c>
      <c r="L127" s="79">
        <f t="shared" si="63"/>
        <v>-0.22438717787554999</v>
      </c>
      <c r="M127" s="79">
        <f t="shared" si="64"/>
        <v>-0.22792551120888332</v>
      </c>
      <c r="N127" s="79">
        <f t="shared" si="65"/>
        <v>-0.11448491958156583</v>
      </c>
      <c r="O127" s="80">
        <f t="shared" si="66"/>
        <v>-0.12706143111342622</v>
      </c>
      <c r="P127">
        <v>233.94</v>
      </c>
      <c r="Q127" s="79">
        <f t="shared" si="67"/>
        <v>-2.4236983842010718E-2</v>
      </c>
      <c r="R127" s="79">
        <f t="shared" si="68"/>
        <v>-2.7775317175344053E-2</v>
      </c>
      <c r="S127" s="79">
        <f t="shared" si="93"/>
        <v>-4.7434333594144534E-2</v>
      </c>
      <c r="T127" s="80">
        <f t="shared" si="94"/>
        <v>9.2658112553959254E-3</v>
      </c>
      <c r="U127">
        <v>370.54</v>
      </c>
      <c r="V127" s="79">
        <f t="shared" si="69"/>
        <v>-7.3568305715982205E-2</v>
      </c>
      <c r="W127" s="79">
        <f t="shared" si="70"/>
        <v>-7.7106639049315542E-2</v>
      </c>
      <c r="X127" s="79">
        <f t="shared" si="71"/>
        <v>-7.3632593526159834E-2</v>
      </c>
      <c r="Y127" s="80">
        <f t="shared" si="72"/>
        <v>-2.4170046894785982E-2</v>
      </c>
      <c r="Z127" s="269">
        <v>1854.99</v>
      </c>
      <c r="AA127" s="79">
        <f t="shared" si="73"/>
        <v>-0.10715421646477878</v>
      </c>
      <c r="AB127" s="79">
        <f t="shared" si="74"/>
        <v>-0.11069254979811212</v>
      </c>
      <c r="AC127" s="79">
        <f t="shared" si="75"/>
        <v>-6.4427261425648946E-2</v>
      </c>
      <c r="AD127" s="80">
        <f t="shared" si="76"/>
        <v>-5.2391106869516202E-2</v>
      </c>
      <c r="AE127">
        <v>203.7</v>
      </c>
      <c r="AF127" s="79">
        <f t="shared" si="77"/>
        <v>-6.7992145311732921E-2</v>
      </c>
      <c r="AG127" s="79">
        <f t="shared" si="78"/>
        <v>-7.1530478645066259E-2</v>
      </c>
      <c r="AH127" s="79">
        <f t="shared" si="79"/>
        <v>-5.4706283527718329E-2</v>
      </c>
      <c r="AI127" s="80">
        <f t="shared" si="80"/>
        <v>-2.0475549978954628E-2</v>
      </c>
      <c r="AJ127">
        <v>77.680000000000007</v>
      </c>
      <c r="AK127" s="79">
        <f t="shared" si="81"/>
        <v>-2.085478887744599E-2</v>
      </c>
      <c r="AL127" s="79">
        <f t="shared" si="82"/>
        <v>-2.4393122210779324E-2</v>
      </c>
      <c r="AM127" s="79">
        <f t="shared" si="83"/>
        <v>-4.7139554562541985E-2</v>
      </c>
      <c r="AN127" s="80">
        <f t="shared" si="84"/>
        <v>2.1628025944509063E-2</v>
      </c>
      <c r="AO127">
        <v>34.28</v>
      </c>
      <c r="AP127" s="79">
        <f t="shared" si="85"/>
        <v>-1.3710618436406034E-2</v>
      </c>
      <c r="AQ127" s="79">
        <f t="shared" si="86"/>
        <v>-1.7248951769739368E-2</v>
      </c>
      <c r="AR127" s="79">
        <f t="shared" si="87"/>
        <v>-2.956510469758435E-2</v>
      </c>
      <c r="AS127" s="80">
        <f t="shared" si="88"/>
        <v>7.0961285448057215E-3</v>
      </c>
      <c r="AT127" s="178">
        <f t="shared" si="56"/>
        <v>70.062085102839447</v>
      </c>
      <c r="AU127" s="80">
        <f t="shared" si="89"/>
        <v>-6.499564355250867E-2</v>
      </c>
      <c r="AV127">
        <v>52.82</v>
      </c>
      <c r="AW127" s="79">
        <f t="shared" si="90"/>
        <v>4.5437334343052249E-3</v>
      </c>
      <c r="AX127" s="79">
        <f t="shared" si="91"/>
        <v>1.0054001009718919E-3</v>
      </c>
      <c r="AZ127" s="307">
        <f t="shared" si="92"/>
        <v>-6.5110743743583555E-2</v>
      </c>
    </row>
    <row r="128" spans="2:53">
      <c r="B128" s="267">
        <v>43468</v>
      </c>
      <c r="C128">
        <v>51.08</v>
      </c>
      <c r="D128" s="79">
        <f t="shared" si="57"/>
        <v>6.3429913860610851E-2</v>
      </c>
      <c r="E128" s="79">
        <f t="shared" si="58"/>
        <v>5.989158052727752E-2</v>
      </c>
      <c r="F128" s="258">
        <v>89.04</v>
      </c>
      <c r="G128" s="79">
        <f t="shared" si="59"/>
        <v>8.1873315363881302E-2</v>
      </c>
      <c r="H128" s="79">
        <f t="shared" si="60"/>
        <v>7.8334982030547964E-2</v>
      </c>
      <c r="I128" s="79">
        <f t="shared" si="61"/>
        <v>6.9559611470361216E-2</v>
      </c>
      <c r="J128" s="80">
        <f t="shared" si="62"/>
        <v>-4.8454689259219558E-3</v>
      </c>
      <c r="K128">
        <v>18.66</v>
      </c>
      <c r="L128" s="79">
        <f t="shared" si="63"/>
        <v>-0.14737406216505894</v>
      </c>
      <c r="M128" s="79">
        <f t="shared" si="64"/>
        <v>-0.15091239549839228</v>
      </c>
      <c r="N128" s="79">
        <f t="shared" si="65"/>
        <v>0.10695961351528445</v>
      </c>
      <c r="O128" s="80">
        <f t="shared" si="66"/>
        <v>-0.27149284849978544</v>
      </c>
      <c r="P128">
        <v>230.71</v>
      </c>
      <c r="Q128" s="79">
        <f t="shared" si="67"/>
        <v>1.4000260066750422E-2</v>
      </c>
      <c r="R128" s="79">
        <f t="shared" si="68"/>
        <v>1.0461926733417089E-2</v>
      </c>
      <c r="S128" s="79">
        <f t="shared" si="93"/>
        <v>4.4316386884213771E-2</v>
      </c>
      <c r="T128" s="80">
        <f t="shared" si="94"/>
        <v>-4.424766531420124E-2</v>
      </c>
      <c r="U128">
        <v>356.56</v>
      </c>
      <c r="V128" s="79">
        <f t="shared" si="69"/>
        <v>3.9207987435494779E-2</v>
      </c>
      <c r="W128" s="79">
        <f t="shared" si="70"/>
        <v>3.5669654102161448E-2</v>
      </c>
      <c r="X128" s="79">
        <f t="shared" si="71"/>
        <v>6.8792586608535516E-2</v>
      </c>
      <c r="Y128" s="80">
        <f t="shared" si="72"/>
        <v>-5.3818933878004349E-2</v>
      </c>
      <c r="Z128" s="269">
        <v>1744.91</v>
      </c>
      <c r="AA128" s="79">
        <f t="shared" si="73"/>
        <v>6.3086348293035124E-2</v>
      </c>
      <c r="AB128" s="79">
        <f t="shared" si="74"/>
        <v>5.9548014959701794E-2</v>
      </c>
      <c r="AC128" s="79">
        <f t="shared" si="75"/>
        <v>6.0192338057467626E-2</v>
      </c>
      <c r="AD128" s="80">
        <f t="shared" si="76"/>
        <v>-6.7701415948188612E-3</v>
      </c>
      <c r="AE128">
        <v>191.89</v>
      </c>
      <c r="AF128" s="79">
        <f t="shared" si="77"/>
        <v>6.1545677210902094E-2</v>
      </c>
      <c r="AG128" s="79">
        <f t="shared" si="78"/>
        <v>5.8007343877568764E-2</v>
      </c>
      <c r="AH128" s="79">
        <f t="shared" si="79"/>
        <v>5.1110338063464052E-2</v>
      </c>
      <c r="AI128" s="80">
        <f t="shared" si="80"/>
        <v>3.2456509524980207E-3</v>
      </c>
      <c r="AJ128">
        <v>74.34</v>
      </c>
      <c r="AK128" s="79">
        <f t="shared" si="81"/>
        <v>4.4928705945655144E-2</v>
      </c>
      <c r="AL128" s="79">
        <f t="shared" si="82"/>
        <v>4.1390372612321813E-2</v>
      </c>
      <c r="AM128" s="79">
        <f t="shared" si="83"/>
        <v>4.404098422500017E-2</v>
      </c>
      <c r="AN128" s="80">
        <f t="shared" si="84"/>
        <v>-3.7690180199319578E-3</v>
      </c>
      <c r="AO128">
        <v>32.51</v>
      </c>
      <c r="AP128" s="79">
        <f t="shared" si="85"/>
        <v>5.4444786219624827E-2</v>
      </c>
      <c r="AQ128" s="79">
        <f t="shared" si="86"/>
        <v>5.0906452886291496E-2</v>
      </c>
      <c r="AR128" s="79">
        <f t="shared" si="87"/>
        <v>2.7621735539933301E-2</v>
      </c>
      <c r="AS128" s="80">
        <f t="shared" si="88"/>
        <v>1.8064692963318932E-2</v>
      </c>
      <c r="AT128" s="178">
        <f t="shared" si="56"/>
        <v>74.932362207420411</v>
      </c>
      <c r="AU128" s="80">
        <f t="shared" si="89"/>
        <v>4.4814235451415739E-2</v>
      </c>
      <c r="AV128">
        <v>52.82</v>
      </c>
      <c r="AW128" s="79">
        <f t="shared" si="90"/>
        <v>0</v>
      </c>
      <c r="AX128" s="79">
        <f t="shared" si="91"/>
        <v>-3.538333333333333E-3</v>
      </c>
      <c r="AZ128" s="307">
        <f t="shared" si="92"/>
        <v>6.3429913860610851E-2</v>
      </c>
    </row>
    <row r="129" spans="2:52">
      <c r="B129" s="267">
        <v>43467</v>
      </c>
      <c r="C129">
        <v>50</v>
      </c>
      <c r="D129" s="79">
        <f t="shared" si="57"/>
        <v>2.1599999999999966E-2</v>
      </c>
      <c r="E129" s="79">
        <f t="shared" si="58"/>
        <v>1.8061666666666632E-2</v>
      </c>
      <c r="F129" s="258">
        <v>81.99</v>
      </c>
      <c r="G129" s="79">
        <f t="shared" si="59"/>
        <v>8.5986095865349582E-2</v>
      </c>
      <c r="H129" s="79">
        <f t="shared" si="60"/>
        <v>8.2447762532016244E-2</v>
      </c>
      <c r="I129" s="79">
        <f t="shared" si="61"/>
        <v>2.097728102647578E-2</v>
      </c>
      <c r="J129" s="80">
        <f t="shared" si="62"/>
        <v>4.784964201943176E-2</v>
      </c>
      <c r="K129">
        <v>21.33</v>
      </c>
      <c r="L129" s="79">
        <f t="shared" si="63"/>
        <v>-0.12517580872011244</v>
      </c>
      <c r="M129" s="79">
        <f t="shared" si="64"/>
        <v>-0.12871414205344578</v>
      </c>
      <c r="N129" s="79">
        <f t="shared" si="65"/>
        <v>3.2256101259987492E-2</v>
      </c>
      <c r="O129" s="80">
        <f t="shared" si="66"/>
        <v>-0.17459108279954197</v>
      </c>
      <c r="P129">
        <v>208.42</v>
      </c>
      <c r="Q129" s="79">
        <f t="shared" si="67"/>
        <v>0.10694750983590837</v>
      </c>
      <c r="R129" s="79">
        <f t="shared" si="68"/>
        <v>0.10340917650257503</v>
      </c>
      <c r="S129" s="79">
        <f t="shared" si="93"/>
        <v>1.3364613201502552E-2</v>
      </c>
      <c r="T129" s="80">
        <f t="shared" si="94"/>
        <v>7.9651358137667924E-2</v>
      </c>
      <c r="U129">
        <v>358.1</v>
      </c>
      <c r="V129" s="79">
        <f t="shared" si="69"/>
        <v>-4.3004747277297414E-3</v>
      </c>
      <c r="W129" s="79">
        <f t="shared" si="70"/>
        <v>-7.8388080610630739E-3</v>
      </c>
      <c r="X129" s="79">
        <f t="shared" si="71"/>
        <v>2.0745967254867565E-2</v>
      </c>
      <c r="Y129" s="80">
        <f t="shared" si="72"/>
        <v>-4.9280776687560916E-2</v>
      </c>
      <c r="Z129" s="269">
        <v>1697.04</v>
      </c>
      <c r="AA129" s="79">
        <f t="shared" si="73"/>
        <v>2.8207938528261041E-2</v>
      </c>
      <c r="AB129" s="79">
        <f t="shared" si="74"/>
        <v>2.4669605194927707E-2</v>
      </c>
      <c r="AC129" s="79">
        <f t="shared" si="75"/>
        <v>1.8152366932212463E-2</v>
      </c>
      <c r="AD129" s="80">
        <f t="shared" si="76"/>
        <v>3.9141976566221121E-4</v>
      </c>
      <c r="AE129">
        <v>185.14</v>
      </c>
      <c r="AF129" s="79">
        <f t="shared" si="77"/>
        <v>3.6458895970616835E-2</v>
      </c>
      <c r="AG129" s="79">
        <f t="shared" si="78"/>
        <v>3.2920562637283504E-2</v>
      </c>
      <c r="AH129" s="79">
        <f t="shared" si="79"/>
        <v>1.5413483517979457E-2</v>
      </c>
      <c r="AI129" s="80">
        <f t="shared" si="80"/>
        <v>1.3855724257697356E-2</v>
      </c>
      <c r="AJ129">
        <v>70.260000000000005</v>
      </c>
      <c r="AK129" s="79">
        <f t="shared" si="81"/>
        <v>5.8070025619128919E-2</v>
      </c>
      <c r="AL129" s="79">
        <f t="shared" si="82"/>
        <v>5.4531692285795588E-2</v>
      </c>
      <c r="AM129" s="79">
        <f t="shared" si="83"/>
        <v>1.3281559273286978E-2</v>
      </c>
      <c r="AN129" s="80">
        <f t="shared" si="84"/>
        <v>4.0131726605255005E-2</v>
      </c>
      <c r="AO129">
        <v>33</v>
      </c>
      <c r="AP129" s="79">
        <f t="shared" si="85"/>
        <v>-1.4848484848484909E-2</v>
      </c>
      <c r="AQ129" s="79">
        <f t="shared" si="86"/>
        <v>-1.8386818181818244E-2</v>
      </c>
      <c r="AR129" s="79">
        <f t="shared" si="87"/>
        <v>8.3299618357854776E-3</v>
      </c>
      <c r="AS129" s="80">
        <f t="shared" si="88"/>
        <v>-3.1936804400642983E-2</v>
      </c>
      <c r="AT129" s="178">
        <f t="shared" si="56"/>
        <v>71.718358790398383</v>
      </c>
      <c r="AU129" s="80">
        <f t="shared" si="89"/>
        <v>4.3902834378043362E-2</v>
      </c>
      <c r="AV129">
        <v>52.37</v>
      </c>
      <c r="AW129" s="79">
        <f t="shared" si="90"/>
        <v>8.5927057475654548E-3</v>
      </c>
      <c r="AX129" s="79">
        <f t="shared" si="91"/>
        <v>5.0543724142321222E-3</v>
      </c>
      <c r="AZ129" s="307">
        <f t="shared" si="92"/>
        <v>1.300729425243451E-2</v>
      </c>
    </row>
    <row r="130" spans="2:52">
      <c r="B130" s="267">
        <v>43466</v>
      </c>
      <c r="C130">
        <v>49.29</v>
      </c>
      <c r="D130" s="79">
        <f t="shared" si="57"/>
        <v>1.4404544532359523E-2</v>
      </c>
      <c r="E130" s="79">
        <f t="shared" si="58"/>
        <v>1.086621119902619E-2</v>
      </c>
      <c r="F130" s="258">
        <v>85.94</v>
      </c>
      <c r="G130" s="79">
        <f t="shared" si="59"/>
        <v>-4.5962299278566474E-2</v>
      </c>
      <c r="H130" s="79">
        <f t="shared" si="60"/>
        <v>-4.9500632611899804E-2</v>
      </c>
      <c r="I130" s="79">
        <f t="shared" si="61"/>
        <v>1.2620295248593403E-2</v>
      </c>
      <c r="J130" s="80">
        <f t="shared" si="62"/>
        <v>-7.5741767346601901E-2</v>
      </c>
      <c r="K130">
        <v>20.47</v>
      </c>
      <c r="L130" s="79">
        <f t="shared" si="63"/>
        <v>4.2012701514411312E-2</v>
      </c>
      <c r="M130" s="79">
        <f t="shared" si="64"/>
        <v>3.8474368181077981E-2</v>
      </c>
      <c r="N130" s="79">
        <f t="shared" si="65"/>
        <v>1.9405828665582704E-2</v>
      </c>
      <c r="O130" s="80">
        <f t="shared" si="66"/>
        <v>5.4477000293865797E-3</v>
      </c>
      <c r="P130">
        <v>204.5</v>
      </c>
      <c r="Q130" s="79">
        <f t="shared" si="67"/>
        <v>1.9168704156479158E-2</v>
      </c>
      <c r="R130" s="79">
        <f t="shared" si="68"/>
        <v>1.5630370823145823E-2</v>
      </c>
      <c r="S130" s="79">
        <f t="shared" si="93"/>
        <v>8.0403825583180155E-3</v>
      </c>
      <c r="T130" s="80">
        <f t="shared" si="94"/>
        <v>-2.8032168985767519E-3</v>
      </c>
      <c r="U130">
        <v>339.5</v>
      </c>
      <c r="V130" s="79">
        <f t="shared" si="69"/>
        <v>5.4786450662739392E-2</v>
      </c>
      <c r="W130" s="79">
        <f t="shared" si="70"/>
        <v>5.1248117329406061E-2</v>
      </c>
      <c r="X130" s="79">
        <f t="shared" si="71"/>
        <v>1.2481132881026464E-2</v>
      </c>
      <c r="Y130" s="80">
        <f t="shared" si="72"/>
        <v>1.8070983076749321E-2</v>
      </c>
      <c r="Z130" s="269">
        <v>1832.81</v>
      </c>
      <c r="AA130" s="79">
        <f t="shared" si="73"/>
        <v>-7.4077509398137273E-2</v>
      </c>
      <c r="AB130" s="79">
        <f t="shared" si="74"/>
        <v>-7.7615842731470611E-2</v>
      </c>
      <c r="AC130" s="79">
        <f t="shared" si="75"/>
        <v>1.092077804822221E-2</v>
      </c>
      <c r="AD130" s="80">
        <f t="shared" si="76"/>
        <v>-9.4662439276745849E-2</v>
      </c>
      <c r="AE130">
        <v>183.53</v>
      </c>
      <c r="AF130" s="79">
        <f t="shared" si="77"/>
        <v>8.7724077807442118E-3</v>
      </c>
      <c r="AG130" s="79">
        <f t="shared" si="78"/>
        <v>5.2340744474108792E-3</v>
      </c>
      <c r="AH130" s="79">
        <f t="shared" si="79"/>
        <v>9.2730183936001274E-3</v>
      </c>
      <c r="AI130" s="80">
        <f t="shared" si="80"/>
        <v>-7.6902988077959412E-3</v>
      </c>
      <c r="AJ130">
        <v>68.14</v>
      </c>
      <c r="AK130" s="79">
        <f t="shared" si="81"/>
        <v>3.1112415614910544E-2</v>
      </c>
      <c r="AL130" s="79">
        <f t="shared" si="82"/>
        <v>2.7574082281577209E-2</v>
      </c>
      <c r="AM130" s="79">
        <f t="shared" si="83"/>
        <v>7.990415877969257E-3</v>
      </c>
      <c r="AN130" s="80">
        <f t="shared" si="84"/>
        <v>1.8465259996354354E-2</v>
      </c>
      <c r="AO130">
        <v>31.94</v>
      </c>
      <c r="AP130" s="79">
        <f t="shared" si="85"/>
        <v>3.3187226048841535E-2</v>
      </c>
      <c r="AQ130" s="79">
        <f t="shared" si="86"/>
        <v>2.9648892715508201E-2</v>
      </c>
      <c r="AR130" s="79">
        <f t="shared" si="87"/>
        <v>5.0114491789687047E-3</v>
      </c>
      <c r="AS130" s="80">
        <f t="shared" si="88"/>
        <v>1.9417419153500235E-2</v>
      </c>
      <c r="AT130" s="178">
        <f t="shared" si="56"/>
        <v>68.702140111659077</v>
      </c>
      <c r="AU130" s="80">
        <f t="shared" si="89"/>
        <v>-5.7586792250844373E-3</v>
      </c>
      <c r="AV130">
        <v>52.29</v>
      </c>
      <c r="AW130" s="79">
        <f t="shared" si="90"/>
        <v>1.5299292407725817E-3</v>
      </c>
      <c r="AX130" s="79">
        <f t="shared" si="91"/>
        <v>-2.0084040925607513E-3</v>
      </c>
      <c r="AZ130" s="307">
        <f t="shared" si="92"/>
        <v>1.2874615291586941E-2</v>
      </c>
    </row>
    <row r="131" spans="2:52">
      <c r="B131" s="267">
        <v>43112</v>
      </c>
      <c r="C131">
        <v>45.22</v>
      </c>
      <c r="D131" s="79">
        <f t="shared" si="57"/>
        <v>9.0004422821760285E-2</v>
      </c>
      <c r="E131" s="79">
        <f t="shared" si="58"/>
        <v>8.6466089488426948E-2</v>
      </c>
      <c r="F131" s="258">
        <v>75.099999999999994</v>
      </c>
      <c r="G131" s="79">
        <f t="shared" si="59"/>
        <v>0.14434087882822907</v>
      </c>
      <c r="H131" s="79">
        <f t="shared" si="60"/>
        <v>0.14080254549489574</v>
      </c>
      <c r="I131" s="79">
        <f t="shared" si="61"/>
        <v>0.10042392498620313</v>
      </c>
      <c r="J131" s="80">
        <f t="shared" si="62"/>
        <v>2.6757781022583901E-2</v>
      </c>
      <c r="K131">
        <v>22.19</v>
      </c>
      <c r="L131" s="79">
        <f t="shared" si="63"/>
        <v>-7.7512392969806318E-2</v>
      </c>
      <c r="M131" s="79">
        <f t="shared" si="64"/>
        <v>-8.1050726303139656E-2</v>
      </c>
      <c r="N131" s="79">
        <f t="shared" si="65"/>
        <v>0.15441869178336323</v>
      </c>
      <c r="O131" s="80">
        <f t="shared" si="66"/>
        <v>-0.24909025757261161</v>
      </c>
      <c r="P131">
        <v>194.1</v>
      </c>
      <c r="Q131" s="79">
        <f t="shared" si="67"/>
        <v>5.3580628541988695E-2</v>
      </c>
      <c r="R131" s="79">
        <f t="shared" si="68"/>
        <v>5.0042295208655364E-2</v>
      </c>
      <c r="S131" s="79">
        <f t="shared" si="93"/>
        <v>6.3980022574107259E-2</v>
      </c>
      <c r="T131" s="80">
        <f t="shared" si="94"/>
        <v>-2.4330932528856458E-2</v>
      </c>
      <c r="U131">
        <v>267.66000000000003</v>
      </c>
      <c r="V131" s="79">
        <f t="shared" si="69"/>
        <v>0.26840020922065294</v>
      </c>
      <c r="W131" s="79">
        <f t="shared" si="70"/>
        <v>0.26486187588731963</v>
      </c>
      <c r="X131" s="79">
        <f t="shared" si="71"/>
        <v>9.9316563321031143E-2</v>
      </c>
      <c r="Y131" s="80">
        <f t="shared" si="72"/>
        <v>0.14484931119465821</v>
      </c>
      <c r="Z131" s="269">
        <v>1722.42</v>
      </c>
      <c r="AA131" s="79">
        <f t="shared" si="73"/>
        <v>6.4090059335121435E-2</v>
      </c>
      <c r="AB131" s="79">
        <f t="shared" si="74"/>
        <v>6.0551726001788105E-2</v>
      </c>
      <c r="AC131" s="79">
        <f t="shared" si="75"/>
        <v>8.6900296221506773E-2</v>
      </c>
      <c r="AD131" s="80">
        <f t="shared" si="76"/>
        <v>-3.2474388716771697E-2</v>
      </c>
      <c r="AE131">
        <v>171.82</v>
      </c>
      <c r="AF131" s="79">
        <f t="shared" si="77"/>
        <v>6.8152717960656556E-2</v>
      </c>
      <c r="AG131" s="79">
        <f t="shared" si="78"/>
        <v>6.4614384627323218E-2</v>
      </c>
      <c r="AH131" s="79">
        <f t="shared" si="79"/>
        <v>7.3788519619489235E-2</v>
      </c>
      <c r="AI131" s="80">
        <f t="shared" si="80"/>
        <v>-1.2825489853772708E-2</v>
      </c>
      <c r="AJ131">
        <v>64.400000000000006</v>
      </c>
      <c r="AK131" s="79">
        <f t="shared" si="81"/>
        <v>5.8074534161490596E-2</v>
      </c>
      <c r="AL131" s="79">
        <f t="shared" si="82"/>
        <v>5.4536200828157265E-2</v>
      </c>
      <c r="AM131" s="79">
        <f t="shared" si="83"/>
        <v>6.3582420928479155E-2</v>
      </c>
      <c r="AN131" s="80">
        <f t="shared" si="84"/>
        <v>-1.0164626507575492E-2</v>
      </c>
      <c r="AO131">
        <v>31.05</v>
      </c>
      <c r="AP131" s="79">
        <f t="shared" si="85"/>
        <v>2.8663446054750422E-2</v>
      </c>
      <c r="AQ131" s="79">
        <f t="shared" si="86"/>
        <v>2.5125112721417087E-2</v>
      </c>
      <c r="AR131" s="79">
        <f t="shared" si="87"/>
        <v>3.9877783087286685E-2</v>
      </c>
      <c r="AS131" s="80">
        <f t="shared" si="88"/>
        <v>-1.9972694748908858E-2</v>
      </c>
      <c r="AT131" s="178">
        <f t="shared" si="56"/>
        <v>69.100065221703275</v>
      </c>
      <c r="AU131" s="80">
        <f t="shared" si="89"/>
        <v>8.9711704240164614E-2</v>
      </c>
      <c r="AV131">
        <v>51.64</v>
      </c>
      <c r="AW131" s="79">
        <f t="shared" si="90"/>
        <v>1.2587141750580918E-2</v>
      </c>
      <c r="AX131" s="79">
        <f t="shared" si="91"/>
        <v>9.0488084172475856E-3</v>
      </c>
      <c r="AZ131" s="307">
        <f t="shared" si="92"/>
        <v>7.7417281071179359E-2</v>
      </c>
    </row>
    <row r="132" spans="2:52">
      <c r="B132" s="267">
        <v>43111</v>
      </c>
      <c r="C132">
        <v>49.85</v>
      </c>
      <c r="D132" s="79">
        <f t="shared" si="57"/>
        <v>-9.2878635907723217E-2</v>
      </c>
      <c r="E132" s="79">
        <f t="shared" si="58"/>
        <v>-9.6416969241056555E-2</v>
      </c>
      <c r="F132" s="258">
        <v>84.51</v>
      </c>
      <c r="G132" s="79">
        <f t="shared" si="59"/>
        <v>-0.11134776949473447</v>
      </c>
      <c r="H132" s="79">
        <f t="shared" si="60"/>
        <v>-0.11488610282806781</v>
      </c>
      <c r="I132" s="79">
        <f t="shared" si="61"/>
        <v>-0.11198113091210031</v>
      </c>
      <c r="J132" s="80">
        <f t="shared" si="62"/>
        <v>-1.6525811402076193E-2</v>
      </c>
      <c r="K132">
        <v>23.37</v>
      </c>
      <c r="L132" s="79">
        <f t="shared" si="63"/>
        <v>-5.049208386820709E-2</v>
      </c>
      <c r="M132" s="79">
        <f t="shared" si="64"/>
        <v>-5.403041720154042E-2</v>
      </c>
      <c r="N132" s="79">
        <f t="shared" si="65"/>
        <v>-0.17218984163628084</v>
      </c>
      <c r="O132" s="80">
        <f t="shared" si="66"/>
        <v>0.10453858494863172</v>
      </c>
      <c r="P132">
        <v>220.37</v>
      </c>
      <c r="Q132" s="79">
        <f t="shared" si="67"/>
        <v>-0.11920860371193906</v>
      </c>
      <c r="R132" s="79">
        <f t="shared" si="68"/>
        <v>-0.1227469370452724</v>
      </c>
      <c r="S132" s="79">
        <f t="shared" si="93"/>
        <v>-7.1343111560462802E-2</v>
      </c>
      <c r="T132" s="80">
        <f t="shared" si="94"/>
        <v>-6.1797030648214152E-2</v>
      </c>
      <c r="U132">
        <v>286.13</v>
      </c>
      <c r="V132" s="79">
        <f t="shared" si="69"/>
        <v>-6.4551078181246183E-2</v>
      </c>
      <c r="W132" s="79">
        <f t="shared" si="70"/>
        <v>-6.808941151457952E-2</v>
      </c>
      <c r="X132" s="79">
        <f t="shared" si="71"/>
        <v>-0.11074632942817401</v>
      </c>
      <c r="Y132" s="80">
        <f t="shared" si="72"/>
        <v>2.196091654196422E-2</v>
      </c>
      <c r="Z132" s="269">
        <v>1891.88</v>
      </c>
      <c r="AA132" s="79">
        <f t="shared" si="73"/>
        <v>-8.9572277311457407E-2</v>
      </c>
      <c r="AB132" s="79">
        <f t="shared" si="74"/>
        <v>-9.3110610644790745E-2</v>
      </c>
      <c r="AC132" s="79">
        <f t="shared" si="75"/>
        <v>-9.6901146303709773E-2</v>
      </c>
      <c r="AD132" s="80">
        <f t="shared" si="76"/>
        <v>-2.3352828381340007E-3</v>
      </c>
      <c r="AE132">
        <v>180.32</v>
      </c>
      <c r="AF132" s="79">
        <f t="shared" si="77"/>
        <v>-4.7138420585625555E-2</v>
      </c>
      <c r="AG132" s="79">
        <f t="shared" si="78"/>
        <v>-5.0676753918958886E-2</v>
      </c>
      <c r="AH132" s="79">
        <f t="shared" si="79"/>
        <v>-8.2280411529974729E-2</v>
      </c>
      <c r="AI132" s="80">
        <f t="shared" si="80"/>
        <v>2.7952302749409151E-2</v>
      </c>
      <c r="AJ132">
        <v>66.72</v>
      </c>
      <c r="AK132" s="79">
        <f t="shared" si="81"/>
        <v>-3.4772182254196544E-2</v>
      </c>
      <c r="AL132" s="79">
        <f t="shared" si="82"/>
        <v>-3.8310515587529875E-2</v>
      </c>
      <c r="AM132" s="79">
        <f t="shared" si="83"/>
        <v>-7.0899752252050335E-2</v>
      </c>
      <c r="AN132" s="80">
        <f t="shared" si="84"/>
        <v>3.1470830257266859E-2</v>
      </c>
      <c r="AO132">
        <v>32.549999999999997</v>
      </c>
      <c r="AP132" s="79">
        <f t="shared" si="85"/>
        <v>-4.6082949308755658E-2</v>
      </c>
      <c r="AQ132" s="79">
        <f t="shared" si="86"/>
        <v>-4.9621282642088989E-2</v>
      </c>
      <c r="AR132" s="79">
        <f t="shared" si="87"/>
        <v>-4.446708539817873E-2</v>
      </c>
      <c r="AS132" s="80">
        <f t="shared" si="88"/>
        <v>-1.0374221626949523E-2</v>
      </c>
      <c r="AT132" s="178">
        <f t="shared" si="56"/>
        <v>63.41132700771113</v>
      </c>
      <c r="AU132" s="80">
        <f t="shared" si="89"/>
        <v>-8.6908458167799962E-2</v>
      </c>
      <c r="AV132">
        <v>51.51</v>
      </c>
      <c r="AW132" s="79">
        <f t="shared" si="90"/>
        <v>2.5237817899437499E-3</v>
      </c>
      <c r="AX132" s="79">
        <f t="shared" si="91"/>
        <v>-1.0145515433895832E-3</v>
      </c>
      <c r="AZ132" s="307">
        <f t="shared" si="92"/>
        <v>-9.5402417697666969E-2</v>
      </c>
    </row>
    <row r="133" spans="2:52">
      <c r="B133" s="267">
        <v>43110</v>
      </c>
      <c r="C133">
        <v>48.65</v>
      </c>
      <c r="D133" s="79">
        <f t="shared" si="57"/>
        <v>2.4665981500513932E-2</v>
      </c>
      <c r="E133" s="79">
        <f t="shared" si="58"/>
        <v>2.1127648167180598E-2</v>
      </c>
      <c r="F133" s="258">
        <v>79.900000000000006</v>
      </c>
      <c r="G133" s="79">
        <f t="shared" si="59"/>
        <v>5.7697121401752177E-2</v>
      </c>
      <c r="H133" s="79">
        <f t="shared" si="60"/>
        <v>5.4158788068418846E-2</v>
      </c>
      <c r="I133" s="79">
        <f t="shared" si="61"/>
        <v>2.4538190257347284E-2</v>
      </c>
      <c r="J133" s="80">
        <f t="shared" si="62"/>
        <v>1.5999758324962865E-2</v>
      </c>
      <c r="K133">
        <v>22.49</v>
      </c>
      <c r="L133" s="79">
        <f t="shared" si="63"/>
        <v>3.9128501556247336E-2</v>
      </c>
      <c r="M133" s="79">
        <f t="shared" si="64"/>
        <v>3.5590168222914005E-2</v>
      </c>
      <c r="N133" s="79">
        <f t="shared" si="65"/>
        <v>3.7731598708090869E-2</v>
      </c>
      <c r="O133" s="80">
        <f t="shared" si="66"/>
        <v>-1.5762269971285561E-2</v>
      </c>
      <c r="P133">
        <v>217.84</v>
      </c>
      <c r="Q133" s="79">
        <f t="shared" si="67"/>
        <v>1.1614028644876978E-2</v>
      </c>
      <c r="R133" s="79">
        <f t="shared" si="68"/>
        <v>8.0756953115436458E-3</v>
      </c>
      <c r="S133" s="79">
        <f t="shared" si="93"/>
        <v>1.5633266343737393E-2</v>
      </c>
      <c r="T133" s="80">
        <f t="shared" si="94"/>
        <v>-1.7950776195598307E-2</v>
      </c>
      <c r="U133">
        <v>301.77999999999997</v>
      </c>
      <c r="V133" s="79">
        <f t="shared" si="69"/>
        <v>-5.1858970110676583E-2</v>
      </c>
      <c r="W133" s="79">
        <f t="shared" si="70"/>
        <v>-5.5397303444009914E-2</v>
      </c>
      <c r="X133" s="79">
        <f t="shared" si="71"/>
        <v>2.4267610799041741E-2</v>
      </c>
      <c r="Y133" s="80">
        <f t="shared" si="72"/>
        <v>-0.10036091561468194</v>
      </c>
      <c r="Z133" s="269">
        <v>1874.58</v>
      </c>
      <c r="AA133" s="79">
        <f t="shared" si="73"/>
        <v>9.2287339030610489E-3</v>
      </c>
      <c r="AB133" s="79">
        <f t="shared" si="74"/>
        <v>5.6904005697277164E-3</v>
      </c>
      <c r="AC133" s="79">
        <f t="shared" si="75"/>
        <v>2.1233744871016837E-2</v>
      </c>
      <c r="AD133" s="80">
        <f t="shared" si="76"/>
        <v>-2.1669162798342152E-2</v>
      </c>
      <c r="AE133">
        <v>175.88</v>
      </c>
      <c r="AF133" s="79">
        <f t="shared" si="77"/>
        <v>2.524448487605184E-2</v>
      </c>
      <c r="AG133" s="79">
        <f t="shared" si="78"/>
        <v>2.1706151542718505E-2</v>
      </c>
      <c r="AH133" s="79">
        <f t="shared" si="79"/>
        <v>1.8029933937353936E-2</v>
      </c>
      <c r="AI133" s="80">
        <f t="shared" si="80"/>
        <v>2.4862743757875228E-5</v>
      </c>
      <c r="AJ133">
        <v>58.27</v>
      </c>
      <c r="AK133" s="79">
        <f t="shared" si="81"/>
        <v>0.14501458726617461</v>
      </c>
      <c r="AL133" s="79">
        <f t="shared" si="82"/>
        <v>0.14147625393284127</v>
      </c>
      <c r="AM133" s="79">
        <f t="shared" si="83"/>
        <v>1.5536113948743895E-2</v>
      </c>
      <c r="AN133" s="80">
        <f t="shared" si="84"/>
        <v>0.12482173357684377</v>
      </c>
      <c r="AO133">
        <v>33.43</v>
      </c>
      <c r="AP133" s="79">
        <f t="shared" si="85"/>
        <v>-2.6323661381992301E-2</v>
      </c>
      <c r="AQ133" s="79">
        <f t="shared" si="86"/>
        <v>-2.9861994715325635E-2</v>
      </c>
      <c r="AR133" s="79">
        <f t="shared" si="87"/>
        <v>9.7439791222211514E-3</v>
      </c>
      <c r="AS133" s="80">
        <f t="shared" si="88"/>
        <v>-4.4825998220586048E-2</v>
      </c>
      <c r="AT133" s="178">
        <f t="shared" si="56"/>
        <v>69.44684525329258</v>
      </c>
      <c r="AU133" s="80">
        <f t="shared" si="89"/>
        <v>1.1803310806318312E-2</v>
      </c>
      <c r="AV133">
        <v>51.64</v>
      </c>
      <c r="AW133" s="79">
        <f t="shared" si="90"/>
        <v>-2.5174283501162385E-3</v>
      </c>
      <c r="AX133" s="79">
        <f t="shared" si="91"/>
        <v>-6.055761683449571E-3</v>
      </c>
      <c r="AZ133" s="307">
        <f t="shared" si="92"/>
        <v>2.7183409850630169E-2</v>
      </c>
    </row>
    <row r="134" spans="2:52">
      <c r="B134" s="267">
        <v>43109</v>
      </c>
      <c r="C134">
        <v>52.94</v>
      </c>
      <c r="D134" s="79">
        <f t="shared" si="57"/>
        <v>-8.1035134114091412E-2</v>
      </c>
      <c r="E134" s="79">
        <f t="shared" si="58"/>
        <v>-8.4573467447424749E-2</v>
      </c>
      <c r="F134" s="258">
        <v>100.15</v>
      </c>
      <c r="G134" s="79">
        <f t="shared" si="59"/>
        <v>-0.2021967049425861</v>
      </c>
      <c r="H134" s="79">
        <f t="shared" si="60"/>
        <v>-0.20573503827591944</v>
      </c>
      <c r="I134" s="79">
        <f t="shared" si="61"/>
        <v>-9.8225785403421625E-2</v>
      </c>
      <c r="J134" s="80">
        <f t="shared" si="62"/>
        <v>-0.12113009235860651</v>
      </c>
      <c r="K134">
        <v>17.649999999999999</v>
      </c>
      <c r="L134" s="79">
        <f t="shared" si="63"/>
        <v>0.27422096317280453</v>
      </c>
      <c r="M134" s="79">
        <f t="shared" si="64"/>
        <v>0.27068262983947122</v>
      </c>
      <c r="N134" s="79">
        <f t="shared" si="65"/>
        <v>-0.15103868210163665</v>
      </c>
      <c r="O134" s="80">
        <f t="shared" si="66"/>
        <v>0.40810047245499914</v>
      </c>
      <c r="P134">
        <v>223.79</v>
      </c>
      <c r="Q134" s="79">
        <f t="shared" si="67"/>
        <v>-2.6587425711604579E-2</v>
      </c>
      <c r="R134" s="79">
        <f t="shared" si="68"/>
        <v>-3.0125759044937913E-2</v>
      </c>
      <c r="S134" s="79">
        <f t="shared" si="93"/>
        <v>-6.2579589159990845E-2</v>
      </c>
      <c r="T134" s="80">
        <f t="shared" si="94"/>
        <v>2.2060624951648372E-2</v>
      </c>
      <c r="U134">
        <v>374.13</v>
      </c>
      <c r="V134" s="79">
        <f t="shared" si="69"/>
        <v>-0.19338197952583333</v>
      </c>
      <c r="W134" s="79">
        <f t="shared" si="70"/>
        <v>-0.19692031285916667</v>
      </c>
      <c r="X134" s="79">
        <f t="shared" si="71"/>
        <v>-9.7142662339847849E-2</v>
      </c>
      <c r="Y134" s="80">
        <f t="shared" si="72"/>
        <v>-0.12047365189094909</v>
      </c>
      <c r="Z134" s="269">
        <v>1984</v>
      </c>
      <c r="AA134" s="79">
        <f t="shared" si="73"/>
        <v>-5.5151209677419391E-2</v>
      </c>
      <c r="AB134" s="79">
        <f t="shared" si="74"/>
        <v>-5.8689543010752722E-2</v>
      </c>
      <c r="AC134" s="79">
        <f t="shared" si="75"/>
        <v>-8.4998170001025192E-2</v>
      </c>
      <c r="AD134" s="80">
        <f t="shared" si="76"/>
        <v>2.0182808493219434E-2</v>
      </c>
      <c r="AE134">
        <v>207.15</v>
      </c>
      <c r="AF134" s="79">
        <f t="shared" si="77"/>
        <v>-0.15095341539946902</v>
      </c>
      <c r="AG134" s="79">
        <f t="shared" si="78"/>
        <v>-0.15449174873280236</v>
      </c>
      <c r="AH134" s="79">
        <f t="shared" si="79"/>
        <v>-7.2173391892179903E-2</v>
      </c>
      <c r="AI134" s="80">
        <f t="shared" si="80"/>
        <v>-8.5969711702229154E-2</v>
      </c>
      <c r="AJ134">
        <v>56.84</v>
      </c>
      <c r="AK134" s="79">
        <f t="shared" si="81"/>
        <v>2.5158339197748059E-2</v>
      </c>
      <c r="AL134" s="79">
        <f t="shared" si="82"/>
        <v>2.1620005864414725E-2</v>
      </c>
      <c r="AM134" s="79">
        <f t="shared" si="83"/>
        <v>-6.2190690459557857E-2</v>
      </c>
      <c r="AN134" s="80">
        <f t="shared" si="84"/>
        <v>8.2692289916718981E-2</v>
      </c>
      <c r="AO134">
        <v>31.3</v>
      </c>
      <c r="AP134" s="79">
        <f t="shared" si="85"/>
        <v>6.8051118210862585E-2</v>
      </c>
      <c r="AQ134" s="79">
        <f t="shared" si="86"/>
        <v>6.4512784877529247E-2</v>
      </c>
      <c r="AR134" s="79">
        <f t="shared" si="87"/>
        <v>-3.9004914062402599E-2</v>
      </c>
      <c r="AS134" s="80">
        <f t="shared" si="88"/>
        <v>9.8297674556892589E-2</v>
      </c>
      <c r="AT134" s="178">
        <f t="shared" si="56"/>
        <v>68.636704892722236</v>
      </c>
      <c r="AU134" s="80">
        <f t="shared" si="89"/>
        <v>-9.0705250066527868E-2</v>
      </c>
      <c r="AV134">
        <v>51.83</v>
      </c>
      <c r="AW134" s="79">
        <f t="shared" si="90"/>
        <v>-3.6658306000385442E-3</v>
      </c>
      <c r="AX134" s="79">
        <f t="shared" si="91"/>
        <v>-7.2041639333718776E-3</v>
      </c>
      <c r="AZ134" s="307">
        <f t="shared" si="92"/>
        <v>-7.736930351405287E-2</v>
      </c>
    </row>
    <row r="135" spans="2:52">
      <c r="B135" s="267">
        <v>43108</v>
      </c>
      <c r="C135">
        <v>52.52</v>
      </c>
      <c r="D135" s="79">
        <f t="shared" si="57"/>
        <v>7.9969535415078934E-3</v>
      </c>
      <c r="E135" s="79">
        <f t="shared" si="58"/>
        <v>4.4586202081745609E-3</v>
      </c>
      <c r="F135" s="258">
        <v>100.64</v>
      </c>
      <c r="G135" s="79">
        <f t="shared" si="59"/>
        <v>-4.8688394276629066E-3</v>
      </c>
      <c r="H135" s="79">
        <f t="shared" si="60"/>
        <v>-8.4071727609962392E-3</v>
      </c>
      <c r="I135" s="79">
        <f t="shared" si="61"/>
        <v>5.178355398940771E-3</v>
      </c>
      <c r="J135" s="80">
        <f t="shared" si="62"/>
        <v>-2.7206367646045712E-2</v>
      </c>
      <c r="K135">
        <v>20.11</v>
      </c>
      <c r="L135" s="79">
        <f t="shared" si="63"/>
        <v>-0.12232720039781209</v>
      </c>
      <c r="M135" s="79">
        <f t="shared" si="64"/>
        <v>-0.12586553373114542</v>
      </c>
      <c r="N135" s="79">
        <f t="shared" si="65"/>
        <v>7.9625932406407005E-3</v>
      </c>
      <c r="O135" s="80">
        <f t="shared" si="66"/>
        <v>-0.14744896645789482</v>
      </c>
      <c r="P135">
        <v>222.13</v>
      </c>
      <c r="Q135" s="79">
        <f t="shared" si="67"/>
        <v>7.4731013370548625E-3</v>
      </c>
      <c r="R135" s="79">
        <f t="shared" si="68"/>
        <v>3.93476800372153E-3</v>
      </c>
      <c r="S135" s="79">
        <f t="shared" si="93"/>
        <v>3.29912712898344E-3</v>
      </c>
      <c r="T135" s="80">
        <f t="shared" si="94"/>
        <v>-9.757564288666469E-3</v>
      </c>
      <c r="U135">
        <v>367.68</v>
      </c>
      <c r="V135" s="79">
        <f t="shared" si="69"/>
        <v>1.754242819843339E-2</v>
      </c>
      <c r="W135" s="79">
        <f t="shared" si="70"/>
        <v>1.4004094865100057E-2</v>
      </c>
      <c r="X135" s="79">
        <f t="shared" si="71"/>
        <v>5.1212543420142342E-3</v>
      </c>
      <c r="Y135" s="80">
        <f t="shared" si="72"/>
        <v>-1.1813160848544453E-2</v>
      </c>
      <c r="Z135" s="269">
        <v>1951.55</v>
      </c>
      <c r="AA135" s="79">
        <f t="shared" si="73"/>
        <v>1.6627808664907404E-2</v>
      </c>
      <c r="AB135" s="79">
        <f t="shared" si="74"/>
        <v>1.3089475331574072E-2</v>
      </c>
      <c r="AC135" s="79">
        <f t="shared" si="75"/>
        <v>4.4810100598041327E-3</v>
      </c>
      <c r="AD135" s="80">
        <f t="shared" si="76"/>
        <v>2.4826467747169076E-3</v>
      </c>
      <c r="AE135">
        <v>200.77</v>
      </c>
      <c r="AF135" s="79">
        <f t="shared" si="77"/>
        <v>3.1777656024306399E-2</v>
      </c>
      <c r="AG135" s="79">
        <f t="shared" si="78"/>
        <v>2.8239322690973064E-2</v>
      </c>
      <c r="AH135" s="79">
        <f t="shared" si="79"/>
        <v>3.8049018598299636E-3</v>
      </c>
      <c r="AI135" s="80">
        <f t="shared" si="80"/>
        <v>2.0783065969536406E-2</v>
      </c>
      <c r="AJ135">
        <v>53.45</v>
      </c>
      <c r="AK135" s="79">
        <f t="shared" si="81"/>
        <v>6.3423760523854081E-2</v>
      </c>
      <c r="AL135" s="79">
        <f t="shared" si="82"/>
        <v>5.988542719052075E-2</v>
      </c>
      <c r="AM135" s="79">
        <f t="shared" si="83"/>
        <v>3.2786248171235029E-3</v>
      </c>
      <c r="AN135" s="80">
        <f t="shared" si="84"/>
        <v>5.5488395966143647E-2</v>
      </c>
      <c r="AO135">
        <v>31.95</v>
      </c>
      <c r="AP135" s="79">
        <f t="shared" si="85"/>
        <v>-2.034428794992171E-2</v>
      </c>
      <c r="AQ135" s="79">
        <f t="shared" si="86"/>
        <v>-2.3882621283255044E-2</v>
      </c>
      <c r="AR135" s="79">
        <f t="shared" si="87"/>
        <v>2.0562961801802748E-3</v>
      </c>
      <c r="AS135" s="80">
        <f t="shared" si="88"/>
        <v>-3.115894184647458E-2</v>
      </c>
      <c r="AT135" s="178">
        <f t="shared" si="56"/>
        <v>75.483450110917261</v>
      </c>
      <c r="AU135" s="80">
        <f t="shared" si="89"/>
        <v>1.8662932355288523E-3</v>
      </c>
      <c r="AV135">
        <v>51.99</v>
      </c>
      <c r="AW135" s="79">
        <f t="shared" si="90"/>
        <v>-3.0775149067129005E-3</v>
      </c>
      <c r="AX135" s="79">
        <f t="shared" si="91"/>
        <v>-6.6158482400462335E-3</v>
      </c>
      <c r="AZ135" s="307">
        <f t="shared" si="92"/>
        <v>1.1074468448220794E-2</v>
      </c>
    </row>
    <row r="136" spans="2:52">
      <c r="B136" s="267">
        <v>43107</v>
      </c>
      <c r="C136">
        <v>49.59</v>
      </c>
      <c r="D136" s="79">
        <f t="shared" si="57"/>
        <v>5.9084492841298637E-2</v>
      </c>
      <c r="E136" s="79">
        <f t="shared" si="58"/>
        <v>5.5546159507965306E-2</v>
      </c>
      <c r="F136" s="258">
        <v>88.87</v>
      </c>
      <c r="G136" s="79">
        <f t="shared" si="59"/>
        <v>0.13244064363677277</v>
      </c>
      <c r="H136" s="79">
        <f t="shared" si="60"/>
        <v>0.12890231030343943</v>
      </c>
      <c r="I136" s="79">
        <f t="shared" si="61"/>
        <v>6.4512728500878844E-2</v>
      </c>
      <c r="J136" s="80">
        <f t="shared" si="62"/>
        <v>5.0768742316451884E-2</v>
      </c>
      <c r="K136">
        <v>19.88</v>
      </c>
      <c r="L136" s="79">
        <f t="shared" si="63"/>
        <v>1.1569416498993986E-2</v>
      </c>
      <c r="M136" s="79">
        <f t="shared" si="64"/>
        <v>8.0310831656606532E-3</v>
      </c>
      <c r="N136" s="79">
        <f t="shared" si="65"/>
        <v>9.9199181269300524E-2</v>
      </c>
      <c r="O136" s="80">
        <f t="shared" si="66"/>
        <v>-0.10478893758974857</v>
      </c>
      <c r="P136">
        <v>208.39</v>
      </c>
      <c r="Q136" s="79">
        <f t="shared" si="67"/>
        <v>6.5934065934065977E-2</v>
      </c>
      <c r="R136" s="79">
        <f t="shared" si="68"/>
        <v>6.2395732600732647E-2</v>
      </c>
      <c r="S136" s="79">
        <f t="shared" si="93"/>
        <v>4.1101020761442522E-2</v>
      </c>
      <c r="T136" s="80">
        <f t="shared" si="94"/>
        <v>1.0901506675885561E-2</v>
      </c>
      <c r="U136">
        <v>337.45</v>
      </c>
      <c r="V136" s="79">
        <f t="shared" si="69"/>
        <v>8.9583642021040216E-2</v>
      </c>
      <c r="W136" s="79">
        <f t="shared" si="70"/>
        <v>8.6045308687706878E-2</v>
      </c>
      <c r="X136" s="79">
        <f t="shared" si="71"/>
        <v>6.3801354966461263E-2</v>
      </c>
      <c r="Y136" s="80">
        <f t="shared" si="72"/>
        <v>1.5479523496153419E-3</v>
      </c>
      <c r="Z136" s="269">
        <v>2028.72</v>
      </c>
      <c r="AA136" s="79">
        <f t="shared" si="73"/>
        <v>-3.8038763358176617E-2</v>
      </c>
      <c r="AB136" s="79">
        <f t="shared" si="74"/>
        <v>-4.1577096691509947E-2</v>
      </c>
      <c r="AC136" s="79">
        <f t="shared" si="75"/>
        <v>5.5825095638855238E-2</v>
      </c>
      <c r="AD136" s="80">
        <f t="shared" si="76"/>
        <v>-0.10352801082741822</v>
      </c>
      <c r="AE136">
        <v>197.52</v>
      </c>
      <c r="AF136" s="79">
        <f t="shared" si="77"/>
        <v>1.6454029971648441E-2</v>
      </c>
      <c r="AG136" s="79">
        <f t="shared" si="78"/>
        <v>1.2915696638315108E-2</v>
      </c>
      <c r="AH136" s="79">
        <f t="shared" si="79"/>
        <v>4.7402038242857769E-2</v>
      </c>
      <c r="AI136" s="80">
        <f t="shared" si="80"/>
        <v>-3.8137696466149354E-2</v>
      </c>
      <c r="AJ136">
        <v>52.39</v>
      </c>
      <c r="AK136" s="79">
        <f t="shared" si="81"/>
        <v>2.0232868868104645E-2</v>
      </c>
      <c r="AL136" s="79">
        <f t="shared" si="82"/>
        <v>1.669453553477131E-2</v>
      </c>
      <c r="AM136" s="79">
        <f t="shared" si="83"/>
        <v>4.0845599884202034E-2</v>
      </c>
      <c r="AN136" s="80">
        <f t="shared" si="84"/>
        <v>-2.5269470756684322E-2</v>
      </c>
      <c r="AO136">
        <v>29.74</v>
      </c>
      <c r="AP136" s="79">
        <f t="shared" si="85"/>
        <v>7.4310692669805015E-2</v>
      </c>
      <c r="AQ136" s="79">
        <f t="shared" si="86"/>
        <v>7.0772359336471677E-2</v>
      </c>
      <c r="AR136" s="79">
        <f t="shared" si="87"/>
        <v>2.5617646331593864E-2</v>
      </c>
      <c r="AS136" s="80">
        <f t="shared" si="88"/>
        <v>3.9934688621838556E-2</v>
      </c>
      <c r="AT136" s="178">
        <f t="shared" si="56"/>
        <v>75.342838281486976</v>
      </c>
      <c r="AU136" s="80">
        <f t="shared" si="89"/>
        <v>5.8076314693151998E-2</v>
      </c>
      <c r="AV136">
        <v>51.85</v>
      </c>
      <c r="AW136" s="79">
        <f t="shared" si="90"/>
        <v>2.7000964320154398E-3</v>
      </c>
      <c r="AX136" s="79">
        <f t="shared" si="91"/>
        <v>-8.3823690131789317E-4</v>
      </c>
      <c r="AZ136" s="307">
        <f t="shared" si="92"/>
        <v>5.6384396409283201E-2</v>
      </c>
    </row>
    <row r="137" spans="2:52">
      <c r="B137" s="267">
        <v>43106</v>
      </c>
      <c r="C137">
        <v>48.44</v>
      </c>
      <c r="D137" s="79">
        <f t="shared" si="57"/>
        <v>2.3740710156895245E-2</v>
      </c>
      <c r="E137" s="79">
        <f t="shared" si="58"/>
        <v>2.0202376823561911E-2</v>
      </c>
      <c r="F137" s="258">
        <v>84.99</v>
      </c>
      <c r="G137" s="79">
        <f t="shared" si="59"/>
        <v>4.5652429697611602E-2</v>
      </c>
      <c r="H137" s="79">
        <f t="shared" si="60"/>
        <v>4.2114096364278271E-2</v>
      </c>
      <c r="I137" s="79">
        <f t="shared" si="61"/>
        <v>2.3463556484116643E-2</v>
      </c>
      <c r="J137" s="80">
        <f t="shared" si="62"/>
        <v>5.0297003940529307E-3</v>
      </c>
      <c r="K137">
        <v>22.86</v>
      </c>
      <c r="L137" s="79">
        <f t="shared" si="63"/>
        <v>-0.1303587051618548</v>
      </c>
      <c r="M137" s="79">
        <f t="shared" si="64"/>
        <v>-0.13389703849518814</v>
      </c>
      <c r="N137" s="79">
        <f t="shared" si="65"/>
        <v>3.6079168359134745E-2</v>
      </c>
      <c r="O137" s="80">
        <f t="shared" si="66"/>
        <v>-0.18359704634043159</v>
      </c>
      <c r="P137">
        <v>199.12</v>
      </c>
      <c r="Q137" s="79">
        <f t="shared" si="67"/>
        <v>4.6554841301727511E-2</v>
      </c>
      <c r="R137" s="79">
        <f t="shared" si="68"/>
        <v>4.301650796839418E-2</v>
      </c>
      <c r="S137" s="79">
        <f t="shared" si="93"/>
        <v>1.4948617809240852E-2</v>
      </c>
      <c r="T137" s="80">
        <f t="shared" si="94"/>
        <v>1.7674684995748771E-2</v>
      </c>
      <c r="U137">
        <v>391.43</v>
      </c>
      <c r="V137" s="79">
        <f t="shared" si="69"/>
        <v>-0.1379046061875687</v>
      </c>
      <c r="W137" s="79">
        <f t="shared" si="70"/>
        <v>-0.14144293952090203</v>
      </c>
      <c r="X137" s="79">
        <f t="shared" si="71"/>
        <v>2.3204826873790437E-2</v>
      </c>
      <c r="Y137" s="80">
        <f t="shared" si="72"/>
        <v>-0.18534376776632275</v>
      </c>
      <c r="Z137" s="269">
        <v>2027.09</v>
      </c>
      <c r="AA137" s="79">
        <f t="shared" si="73"/>
        <v>8.0410835236724031E-4</v>
      </c>
      <c r="AB137" s="79">
        <f t="shared" si="74"/>
        <v>-2.7342249809660926E-3</v>
      </c>
      <c r="AC137" s="79">
        <f t="shared" si="75"/>
        <v>2.0303827092596923E-2</v>
      </c>
      <c r="AD137" s="80">
        <f t="shared" si="76"/>
        <v>-2.9163870570616049E-2</v>
      </c>
      <c r="AE137">
        <v>195.1</v>
      </c>
      <c r="AF137" s="79">
        <f t="shared" si="77"/>
        <v>1.2403895438236884E-2</v>
      </c>
      <c r="AG137" s="79">
        <f t="shared" si="78"/>
        <v>8.8655621049035516E-3</v>
      </c>
      <c r="AH137" s="79">
        <f t="shared" si="79"/>
        <v>1.7240324934611917E-2</v>
      </c>
      <c r="AI137" s="80">
        <f t="shared" si="80"/>
        <v>-1.2026117691315058E-2</v>
      </c>
      <c r="AJ137">
        <v>48.85</v>
      </c>
      <c r="AK137" s="79">
        <f t="shared" si="81"/>
        <v>7.2466734902763535E-2</v>
      </c>
      <c r="AL137" s="79">
        <f t="shared" si="82"/>
        <v>6.8928401569430198E-2</v>
      </c>
      <c r="AM137" s="79">
        <f t="shared" si="83"/>
        <v>1.485572013897299E-2</v>
      </c>
      <c r="AN137" s="80">
        <f t="shared" si="84"/>
        <v>5.2954275023203615E-2</v>
      </c>
      <c r="AO137">
        <v>28.55</v>
      </c>
      <c r="AP137" s="79">
        <f t="shared" si="85"/>
        <v>4.1681260945709203E-2</v>
      </c>
      <c r="AQ137" s="79">
        <f t="shared" si="86"/>
        <v>3.8142927612375872E-2</v>
      </c>
      <c r="AR137" s="79">
        <f t="shared" si="87"/>
        <v>9.3172480169287485E-3</v>
      </c>
      <c r="AS137" s="80">
        <f t="shared" si="88"/>
        <v>2.3605655212407858E-2</v>
      </c>
      <c r="AT137" s="178">
        <f t="shared" si="56"/>
        <v>71.207376287727243</v>
      </c>
      <c r="AU137" s="80">
        <f t="shared" si="89"/>
        <v>9.0852792256078396E-3</v>
      </c>
      <c r="AV137">
        <v>51.85</v>
      </c>
      <c r="AW137" s="79">
        <f t="shared" si="90"/>
        <v>0</v>
      </c>
      <c r="AX137" s="79">
        <f t="shared" si="91"/>
        <v>-3.538333333333333E-3</v>
      </c>
      <c r="AZ137" s="307">
        <f t="shared" si="92"/>
        <v>2.3740710156895245E-2</v>
      </c>
    </row>
    <row r="138" spans="2:52">
      <c r="B138" s="267">
        <v>43105</v>
      </c>
      <c r="C138">
        <v>46.94</v>
      </c>
      <c r="D138" s="79">
        <f t="shared" si="57"/>
        <v>3.1955688112484025E-2</v>
      </c>
      <c r="E138" s="79">
        <f t="shared" si="58"/>
        <v>2.8417354779150691E-2</v>
      </c>
      <c r="F138" s="258">
        <v>81.48</v>
      </c>
      <c r="G138" s="79">
        <f t="shared" si="59"/>
        <v>4.3078055964653791E-2</v>
      </c>
      <c r="H138" s="79">
        <f t="shared" si="60"/>
        <v>3.9539722631320461E-2</v>
      </c>
      <c r="I138" s="79">
        <f t="shared" si="61"/>
        <v>3.300464172176671E-2</v>
      </c>
      <c r="J138" s="80">
        <f t="shared" si="62"/>
        <v>-7.0857585765549472E-3</v>
      </c>
      <c r="K138">
        <v>18.98</v>
      </c>
      <c r="L138" s="79">
        <f t="shared" si="63"/>
        <v>0.20442571127502629</v>
      </c>
      <c r="M138" s="79">
        <f t="shared" si="64"/>
        <v>0.20088737794169295</v>
      </c>
      <c r="N138" s="79">
        <f t="shared" si="65"/>
        <v>5.075019322491147E-2</v>
      </c>
      <c r="O138" s="80">
        <f t="shared" si="66"/>
        <v>0.13651634523067277</v>
      </c>
      <c r="P138">
        <v>188.88</v>
      </c>
      <c r="Q138" s="79">
        <f t="shared" si="67"/>
        <v>5.4214315967810296E-2</v>
      </c>
      <c r="R138" s="79">
        <f t="shared" si="68"/>
        <v>5.0675982634476965E-2</v>
      </c>
      <c r="S138" s="79">
        <f t="shared" si="93"/>
        <v>2.1027237510374809E-2</v>
      </c>
      <c r="T138" s="80">
        <f t="shared" si="94"/>
        <v>1.92555399606976E-2</v>
      </c>
      <c r="U138">
        <v>351.6</v>
      </c>
      <c r="V138" s="79">
        <f t="shared" si="69"/>
        <v>0.11328213879408414</v>
      </c>
      <c r="W138" s="79">
        <f t="shared" si="70"/>
        <v>0.1097438054607508</v>
      </c>
      <c r="X138" s="79">
        <f t="shared" si="71"/>
        <v>3.2640703795416573E-2</v>
      </c>
      <c r="Y138" s="80">
        <f t="shared" si="72"/>
        <v>5.6407100293703952E-2</v>
      </c>
      <c r="Z138" s="269">
        <v>2108.92</v>
      </c>
      <c r="AA138" s="79">
        <f t="shared" si="73"/>
        <v>-3.8801851184492607E-2</v>
      </c>
      <c r="AB138" s="79">
        <f t="shared" si="74"/>
        <v>-4.2340184517825938E-2</v>
      </c>
      <c r="AC138" s="79">
        <f t="shared" si="75"/>
        <v>2.8560058200277152E-2</v>
      </c>
      <c r="AD138" s="80">
        <f t="shared" si="76"/>
        <v>-7.7026061215156122E-2</v>
      </c>
      <c r="AE138">
        <v>186.55</v>
      </c>
      <c r="AF138" s="79">
        <f t="shared" si="77"/>
        <v>4.5832216563923785E-2</v>
      </c>
      <c r="AG138" s="79">
        <f t="shared" si="78"/>
        <v>4.2293883230590454E-2</v>
      </c>
      <c r="AH138" s="79">
        <f t="shared" si="79"/>
        <v>2.4250831199391792E-2</v>
      </c>
      <c r="AI138" s="80">
        <f t="shared" si="80"/>
        <v>1.4391697169591971E-2</v>
      </c>
      <c r="AJ138">
        <v>56.67</v>
      </c>
      <c r="AK138" s="79">
        <f t="shared" si="81"/>
        <v>-0.13799188283042174</v>
      </c>
      <c r="AL138" s="79">
        <f t="shared" si="82"/>
        <v>-0.14153021616375508</v>
      </c>
      <c r="AM138" s="79">
        <f t="shared" si="83"/>
        <v>2.0896564467434656E-2</v>
      </c>
      <c r="AN138" s="80">
        <f t="shared" si="84"/>
        <v>-0.16354518703844334</v>
      </c>
      <c r="AO138">
        <v>27.51</v>
      </c>
      <c r="AP138" s="79">
        <f t="shared" si="85"/>
        <v>3.7804434750999601E-2</v>
      </c>
      <c r="AQ138" s="79">
        <f t="shared" si="86"/>
        <v>3.426610141766627E-2</v>
      </c>
      <c r="AR138" s="79">
        <f t="shared" si="87"/>
        <v>1.3105959995439793E-2</v>
      </c>
      <c r="AS138" s="80">
        <f t="shared" si="88"/>
        <v>1.5940117039187216E-2</v>
      </c>
      <c r="AT138" s="178">
        <f t="shared" si="56"/>
        <v>70.566262092707575</v>
      </c>
      <c r="AU138" s="80">
        <f t="shared" si="89"/>
        <v>3.9090146231810771E-2</v>
      </c>
      <c r="AV138">
        <v>51.94</v>
      </c>
      <c r="AW138" s="79">
        <f t="shared" si="90"/>
        <v>-1.7327685791296941E-3</v>
      </c>
      <c r="AX138" s="79">
        <f t="shared" si="91"/>
        <v>-5.2711019124630273E-3</v>
      </c>
      <c r="AZ138" s="307">
        <f t="shared" si="92"/>
        <v>3.3688456691613716E-2</v>
      </c>
    </row>
    <row r="139" spans="2:52">
      <c r="B139" s="267">
        <v>43104</v>
      </c>
      <c r="C139">
        <v>46.36</v>
      </c>
      <c r="D139" s="79">
        <f t="shared" si="57"/>
        <v>1.2510785159620326E-2</v>
      </c>
      <c r="E139" s="79">
        <f t="shared" si="58"/>
        <v>8.972451826286993E-3</v>
      </c>
      <c r="F139" s="258">
        <v>78.31</v>
      </c>
      <c r="G139" s="79">
        <f t="shared" si="59"/>
        <v>4.0480143021325521E-2</v>
      </c>
      <c r="H139" s="79">
        <f t="shared" si="60"/>
        <v>3.694180968799219E-2</v>
      </c>
      <c r="I139" s="79">
        <f t="shared" si="61"/>
        <v>1.0420834739681008E-2</v>
      </c>
      <c r="J139" s="80">
        <f t="shared" si="62"/>
        <v>1.2900135462202485E-2</v>
      </c>
      <c r="K139">
        <v>19.59</v>
      </c>
      <c r="L139" s="79">
        <f t="shared" si="63"/>
        <v>-3.113833588565592E-2</v>
      </c>
      <c r="M139" s="79">
        <f t="shared" si="64"/>
        <v>-3.4676669218989251E-2</v>
      </c>
      <c r="N139" s="79">
        <f t="shared" si="65"/>
        <v>1.6023787837542134E-2</v>
      </c>
      <c r="O139" s="80">
        <f t="shared" si="66"/>
        <v>-6.4321296542640086E-2</v>
      </c>
      <c r="P139">
        <v>187.86</v>
      </c>
      <c r="Q139" s="79">
        <f t="shared" si="67"/>
        <v>5.4295752155859777E-3</v>
      </c>
      <c r="R139" s="79">
        <f t="shared" si="68"/>
        <v>1.8912418822526447E-3</v>
      </c>
      <c r="S139" s="79">
        <f t="shared" si="93"/>
        <v>6.6391075829532742E-3</v>
      </c>
      <c r="T139" s="80">
        <f t="shared" si="94"/>
        <v>-1.514107086410519E-2</v>
      </c>
      <c r="U139">
        <v>312.45999999999998</v>
      </c>
      <c r="V139" s="79">
        <f t="shared" si="69"/>
        <v>0.12526403379632609</v>
      </c>
      <c r="W139" s="79">
        <f t="shared" si="70"/>
        <v>0.12172570046299275</v>
      </c>
      <c r="X139" s="79">
        <f t="shared" si="71"/>
        <v>1.0305925539394314E-2</v>
      </c>
      <c r="Y139" s="80">
        <f t="shared" si="72"/>
        <v>9.0723773551968159E-2</v>
      </c>
      <c r="Z139" s="269">
        <v>2178</v>
      </c>
      <c r="AA139" s="79">
        <f t="shared" si="73"/>
        <v>-3.1717171717171685E-2</v>
      </c>
      <c r="AB139" s="79">
        <f t="shared" si="74"/>
        <v>-3.5255505050505016E-2</v>
      </c>
      <c r="AC139" s="79">
        <f t="shared" si="75"/>
        <v>9.0175087846652204E-3</v>
      </c>
      <c r="AD139" s="80">
        <f t="shared" si="76"/>
        <v>-5.0398832332223267E-2</v>
      </c>
      <c r="AE139">
        <v>184.8</v>
      </c>
      <c r="AF139" s="79">
        <f t="shared" si="77"/>
        <v>9.46969696969697E-3</v>
      </c>
      <c r="AG139" s="79">
        <f t="shared" si="78"/>
        <v>5.9313636363636374E-3</v>
      </c>
      <c r="AH139" s="79">
        <f t="shared" si="79"/>
        <v>7.6569200889733046E-3</v>
      </c>
      <c r="AI139" s="80">
        <f t="shared" si="80"/>
        <v>-5.3769113142163602E-3</v>
      </c>
      <c r="AJ139">
        <v>57.57</v>
      </c>
      <c r="AK139" s="79">
        <f t="shared" si="81"/>
        <v>-1.5633142261594554E-2</v>
      </c>
      <c r="AL139" s="79">
        <f t="shared" si="82"/>
        <v>-1.9171475594927889E-2</v>
      </c>
      <c r="AM139" s="79">
        <f t="shared" si="83"/>
        <v>6.5978490776530179E-3</v>
      </c>
      <c r="AN139" s="80">
        <f t="shared" si="84"/>
        <v>-2.6887731079834505E-2</v>
      </c>
      <c r="AO139">
        <v>29.49</v>
      </c>
      <c r="AP139" s="79">
        <f t="shared" si="85"/>
        <v>-6.7141403865717084E-2</v>
      </c>
      <c r="AQ139" s="79">
        <f t="shared" si="86"/>
        <v>-7.0679737199050421E-2</v>
      </c>
      <c r="AR139" s="79">
        <f t="shared" si="87"/>
        <v>4.1380556216514437E-3</v>
      </c>
      <c r="AS139" s="80">
        <f t="shared" si="88"/>
        <v>-8.0037817203741118E-2</v>
      </c>
      <c r="AT139" s="178">
        <f t="shared" si="56"/>
        <v>67.911588179919988</v>
      </c>
      <c r="AU139" s="80">
        <f t="shared" si="89"/>
        <v>7.0528187424742754E-3</v>
      </c>
      <c r="AV139">
        <v>51.87</v>
      </c>
      <c r="AW139" s="79">
        <f t="shared" si="90"/>
        <v>1.3495276653171446E-3</v>
      </c>
      <c r="AX139" s="79">
        <f t="shared" si="91"/>
        <v>-2.1888056680161886E-3</v>
      </c>
      <c r="AZ139" s="307">
        <f t="shared" si="92"/>
        <v>1.1161257494303183E-2</v>
      </c>
    </row>
    <row r="140" spans="2:52">
      <c r="B140" s="267">
        <v>43103</v>
      </c>
      <c r="C140">
        <v>45.58</v>
      </c>
      <c r="D140" s="79">
        <f t="shared" si="57"/>
        <v>1.7112768758227318E-2</v>
      </c>
      <c r="E140" s="79">
        <f t="shared" si="58"/>
        <v>1.3574435424893986E-2</v>
      </c>
      <c r="F140" s="258">
        <v>72.37</v>
      </c>
      <c r="G140" s="79">
        <f t="shared" si="59"/>
        <v>8.2078209202708266E-2</v>
      </c>
      <c r="H140" s="79">
        <f t="shared" si="60"/>
        <v>7.8539875869374928E-2</v>
      </c>
      <c r="I140" s="79">
        <f t="shared" si="61"/>
        <v>1.5765696042285681E-2</v>
      </c>
      <c r="J140" s="80">
        <f t="shared" si="62"/>
        <v>4.9153340340980539E-2</v>
      </c>
      <c r="K140">
        <v>17.739999999999998</v>
      </c>
      <c r="L140" s="79">
        <f t="shared" si="63"/>
        <v>0.10428410372040595</v>
      </c>
      <c r="M140" s="79">
        <f t="shared" si="64"/>
        <v>0.10074577038707261</v>
      </c>
      <c r="N140" s="79">
        <f t="shared" si="65"/>
        <v>2.4242411937577334E-2</v>
      </c>
      <c r="O140" s="80">
        <f t="shared" si="66"/>
        <v>6.2882518963386563E-2</v>
      </c>
      <c r="P140">
        <v>179.54</v>
      </c>
      <c r="Q140" s="79">
        <f t="shared" si="67"/>
        <v>4.6340648323493494E-2</v>
      </c>
      <c r="R140" s="79">
        <f t="shared" si="68"/>
        <v>4.2802314990160163E-2</v>
      </c>
      <c r="S140" s="79">
        <f t="shared" si="93"/>
        <v>1.0044315523621799E-2</v>
      </c>
      <c r="T140" s="80">
        <f t="shared" si="94"/>
        <v>2.2364794303133803E-2</v>
      </c>
      <c r="U140">
        <v>295.35000000000002</v>
      </c>
      <c r="V140" s="79">
        <f t="shared" si="69"/>
        <v>5.7931267987133758E-2</v>
      </c>
      <c r="W140" s="79">
        <f t="shared" si="70"/>
        <v>5.4392934653800427E-2</v>
      </c>
      <c r="X140" s="79">
        <f t="shared" si="71"/>
        <v>1.5591849745953609E-2</v>
      </c>
      <c r="Y140" s="80">
        <f t="shared" si="72"/>
        <v>1.8105083536216537E-2</v>
      </c>
      <c r="Z140" s="269">
        <v>2080.39</v>
      </c>
      <c r="AA140" s="79">
        <f t="shared" si="73"/>
        <v>4.691908728651846E-2</v>
      </c>
      <c r="AB140" s="79">
        <f t="shared" si="74"/>
        <v>4.3380753953185129E-2</v>
      </c>
      <c r="AC140" s="79">
        <f t="shared" si="75"/>
        <v>1.3642602162792259E-2</v>
      </c>
      <c r="AD140" s="80">
        <f t="shared" si="76"/>
        <v>2.3612333293339841E-2</v>
      </c>
      <c r="AE140">
        <v>178.24</v>
      </c>
      <c r="AF140" s="79">
        <f t="shared" si="77"/>
        <v>3.6804308797127476E-2</v>
      </c>
      <c r="AG140" s="79">
        <f t="shared" si="78"/>
        <v>3.3265975463794145E-2</v>
      </c>
      <c r="AH140" s="79">
        <f t="shared" si="79"/>
        <v>1.1584165545122099E-2</v>
      </c>
      <c r="AI140" s="80">
        <f t="shared" si="80"/>
        <v>1.8030455057065353E-2</v>
      </c>
      <c r="AJ140">
        <v>57.89</v>
      </c>
      <c r="AK140" s="79">
        <f t="shared" si="81"/>
        <v>-5.5277249956814699E-3</v>
      </c>
      <c r="AL140" s="79">
        <f t="shared" si="82"/>
        <v>-9.0660583290148034E-3</v>
      </c>
      <c r="AM140" s="79">
        <f t="shared" si="83"/>
        <v>9.9818954709127803E-3</v>
      </c>
      <c r="AN140" s="80">
        <f t="shared" si="84"/>
        <v>-2.0166360207181183E-2</v>
      </c>
      <c r="AO140">
        <v>29.66</v>
      </c>
      <c r="AP140" s="79">
        <f t="shared" si="85"/>
        <v>-5.7316250842886617E-3</v>
      </c>
      <c r="AQ140" s="79">
        <f t="shared" si="86"/>
        <v>-9.2699584176219943E-3</v>
      </c>
      <c r="AR140" s="79">
        <f t="shared" si="87"/>
        <v>6.2604703717837884E-3</v>
      </c>
      <c r="AS140" s="80">
        <f t="shared" si="88"/>
        <v>-2.0750453172445043E-2</v>
      </c>
      <c r="AT140" s="178">
        <f t="shared" si="56"/>
        <v>67.435974475224114</v>
      </c>
      <c r="AU140" s="80">
        <f t="shared" si="89"/>
        <v>4.3679745489991262E-2</v>
      </c>
      <c r="AV140">
        <v>51.9</v>
      </c>
      <c r="AW140" s="79">
        <f t="shared" si="90"/>
        <v>-5.7803468208094679E-4</v>
      </c>
      <c r="AX140" s="79">
        <f t="shared" si="91"/>
        <v>-4.1163680154142797E-3</v>
      </c>
      <c r="AZ140" s="307">
        <f t="shared" si="92"/>
        <v>1.7690803440308267E-2</v>
      </c>
    </row>
    <row r="141" spans="2:52">
      <c r="B141" s="267">
        <v>43102</v>
      </c>
      <c r="C141">
        <v>46.87</v>
      </c>
      <c r="D141" s="79">
        <f t="shared" si="57"/>
        <v>-2.7522935779816498E-2</v>
      </c>
      <c r="E141" s="79">
        <f t="shared" si="58"/>
        <v>-3.1061269113149832E-2</v>
      </c>
      <c r="F141" s="258">
        <v>75.62</v>
      </c>
      <c r="G141" s="79">
        <f t="shared" si="59"/>
        <v>-4.2978048135413907E-2</v>
      </c>
      <c r="H141" s="79">
        <f t="shared" si="60"/>
        <v>-4.6516381468747238E-2</v>
      </c>
      <c r="I141" s="79">
        <f t="shared" si="61"/>
        <v>-3.6075351364337219E-2</v>
      </c>
      <c r="J141" s="80">
        <f t="shared" si="62"/>
        <v>-2.4061869590518717E-2</v>
      </c>
      <c r="K141">
        <v>22.87</v>
      </c>
      <c r="L141" s="79">
        <f t="shared" si="63"/>
        <v>-0.22431132487975525</v>
      </c>
      <c r="M141" s="79">
        <f t="shared" si="64"/>
        <v>-0.22784965821308859</v>
      </c>
      <c r="N141" s="79">
        <f t="shared" si="65"/>
        <v>-5.5471926277243788E-2</v>
      </c>
      <c r="O141" s="80">
        <f t="shared" si="66"/>
        <v>-0.1859985714219535</v>
      </c>
      <c r="P141">
        <v>181.89</v>
      </c>
      <c r="Q141" s="79">
        <f t="shared" si="67"/>
        <v>-1.2919896640826843E-2</v>
      </c>
      <c r="R141" s="79">
        <f t="shared" si="68"/>
        <v>-1.6458229974160177E-2</v>
      </c>
      <c r="S141" s="79">
        <f t="shared" si="93"/>
        <v>-2.2983584787950161E-2</v>
      </c>
      <c r="T141" s="80">
        <f t="shared" si="94"/>
        <v>-3.8678503496145759E-3</v>
      </c>
      <c r="U141">
        <v>291.38</v>
      </c>
      <c r="V141" s="79">
        <f t="shared" si="69"/>
        <v>1.3624819822911756E-2</v>
      </c>
      <c r="W141" s="79">
        <f t="shared" si="70"/>
        <v>1.0086486489578423E-2</v>
      </c>
      <c r="X141" s="79">
        <f t="shared" si="71"/>
        <v>-3.5677553118909494E-2</v>
      </c>
      <c r="Y141" s="80">
        <f t="shared" si="72"/>
        <v>2.5068038236857638E-2</v>
      </c>
      <c r="Z141" s="269">
        <v>2034.04</v>
      </c>
      <c r="AA141" s="79">
        <f t="shared" si="73"/>
        <v>2.2787162494346182E-2</v>
      </c>
      <c r="AB141" s="79">
        <f t="shared" si="74"/>
        <v>1.9248829161012847E-2</v>
      </c>
      <c r="AC141" s="79">
        <f t="shared" si="75"/>
        <v>-3.1217249478015751E-2</v>
      </c>
      <c r="AD141" s="80">
        <f t="shared" si="76"/>
        <v>4.4340260141975563E-2</v>
      </c>
      <c r="AE141">
        <v>182.27</v>
      </c>
      <c r="AF141" s="79">
        <f t="shared" si="77"/>
        <v>-2.2110056509573716E-2</v>
      </c>
      <c r="AG141" s="79">
        <f t="shared" si="78"/>
        <v>-2.564838984290705E-2</v>
      </c>
      <c r="AH141" s="79">
        <f t="shared" si="79"/>
        <v>-2.6507097509812321E-2</v>
      </c>
      <c r="AI141" s="80">
        <f t="shared" si="80"/>
        <v>-2.7926471947014204E-3</v>
      </c>
      <c r="AJ141">
        <v>57.1</v>
      </c>
      <c r="AK141" s="79">
        <f t="shared" si="81"/>
        <v>1.3835376532399284E-2</v>
      </c>
      <c r="AL141" s="79">
        <f t="shared" si="82"/>
        <v>1.0297043199065952E-2</v>
      </c>
      <c r="AM141" s="79">
        <f t="shared" si="83"/>
        <v>-2.2840754092266404E-2</v>
      </c>
      <c r="AN141" s="80">
        <f t="shared" si="84"/>
        <v>3.2019390884078756E-2</v>
      </c>
      <c r="AO141">
        <v>30</v>
      </c>
      <c r="AP141" s="79">
        <f t="shared" si="85"/>
        <v>-1.1333333333333329E-2</v>
      </c>
      <c r="AQ141" s="79">
        <f t="shared" si="86"/>
        <v>-1.4871666666666662E-2</v>
      </c>
      <c r="AR141" s="79">
        <f t="shared" si="87"/>
        <v>-1.4325321746808202E-2</v>
      </c>
      <c r="AS141" s="80">
        <f t="shared" si="88"/>
        <v>-5.7663693028977194E-3</v>
      </c>
      <c r="AT141" s="178">
        <f t="shared" si="56"/>
        <v>64.613665989622106</v>
      </c>
      <c r="AU141" s="80">
        <f t="shared" si="89"/>
        <v>-2.1535862915873425E-2</v>
      </c>
      <c r="AV141">
        <v>51.93</v>
      </c>
      <c r="AW141" s="79">
        <f t="shared" si="90"/>
        <v>-5.7770075101099818E-4</v>
      </c>
      <c r="AX141" s="79">
        <f t="shared" si="91"/>
        <v>-4.1160340843443312E-3</v>
      </c>
      <c r="AZ141" s="307">
        <f t="shared" si="92"/>
        <v>-2.6945235028805501E-2</v>
      </c>
    </row>
    <row r="142" spans="2:52">
      <c r="B142" s="267">
        <v>43101</v>
      </c>
      <c r="C142">
        <v>48.85</v>
      </c>
      <c r="D142" s="79">
        <f t="shared" si="57"/>
        <v>-4.053224155578309E-2</v>
      </c>
      <c r="E142" s="79">
        <f t="shared" si="58"/>
        <v>-4.4070574889116421E-2</v>
      </c>
      <c r="F142" s="258">
        <v>72.540000000000006</v>
      </c>
      <c r="G142" s="79">
        <f t="shared" si="59"/>
        <v>4.2459332781913398E-2</v>
      </c>
      <c r="H142" s="79">
        <f t="shared" si="60"/>
        <v>3.8920999448580067E-2</v>
      </c>
      <c r="I142" s="79">
        <f t="shared" si="61"/>
        <v>-5.1184691396918537E-2</v>
      </c>
      <c r="J142" s="80">
        <f t="shared" si="62"/>
        <v>7.6484851359389899E-2</v>
      </c>
      <c r="K142">
        <v>23.62</v>
      </c>
      <c r="L142" s="79">
        <f t="shared" si="63"/>
        <v>-3.1752751905165112E-2</v>
      </c>
      <c r="M142" s="79">
        <f t="shared" si="64"/>
        <v>-3.5291085238498443E-2</v>
      </c>
      <c r="N142" s="79">
        <f t="shared" si="65"/>
        <v>-7.8705080347469092E-2</v>
      </c>
      <c r="O142" s="80">
        <f t="shared" si="66"/>
        <v>2.9793155622861951E-2</v>
      </c>
      <c r="P142">
        <v>185.67</v>
      </c>
      <c r="Q142" s="79">
        <f t="shared" si="67"/>
        <v>-2.0358700920988859E-2</v>
      </c>
      <c r="R142" s="79">
        <f t="shared" si="68"/>
        <v>-2.3897034254322193E-2</v>
      </c>
      <c r="S142" s="79">
        <f t="shared" si="93"/>
        <v>-3.2609736290166648E-2</v>
      </c>
      <c r="T142" s="80">
        <f t="shared" si="94"/>
        <v>-1.6805031275601082E-3</v>
      </c>
      <c r="U142">
        <v>270.3</v>
      </c>
      <c r="V142" s="79">
        <f t="shared" si="69"/>
        <v>7.798742138364774E-2</v>
      </c>
      <c r="W142" s="79">
        <f t="shared" si="70"/>
        <v>7.4449088050314402E-2</v>
      </c>
      <c r="X142" s="79">
        <f t="shared" si="71"/>
        <v>-5.0620284408201516E-2</v>
      </c>
      <c r="Y142" s="80">
        <f t="shared" si="72"/>
        <v>0.10437337108688564</v>
      </c>
      <c r="Z142" s="269">
        <v>1912.05</v>
      </c>
      <c r="AA142" s="79">
        <f t="shared" si="73"/>
        <v>6.3800632828639431E-2</v>
      </c>
      <c r="AB142" s="79">
        <f t="shared" si="74"/>
        <v>6.02622994953061E-2</v>
      </c>
      <c r="AC142" s="79">
        <f t="shared" si="75"/>
        <v>-4.4291884080508888E-2</v>
      </c>
      <c r="AD142" s="80">
        <f t="shared" si="76"/>
        <v>9.8428365078761959E-2</v>
      </c>
      <c r="AE142">
        <v>200.9</v>
      </c>
      <c r="AF142" s="79">
        <f t="shared" si="77"/>
        <v>-9.2732702837232422E-2</v>
      </c>
      <c r="AG142" s="79">
        <f t="shared" si="78"/>
        <v>-9.627103617056576E-2</v>
      </c>
      <c r="AH142" s="79">
        <f t="shared" si="79"/>
        <v>-3.760899213885447E-2</v>
      </c>
      <c r="AI142" s="80">
        <f t="shared" si="80"/>
        <v>-6.2313398893317988E-2</v>
      </c>
      <c r="AJ142">
        <v>56.81</v>
      </c>
      <c r="AK142" s="79">
        <f t="shared" si="81"/>
        <v>5.104735081851771E-3</v>
      </c>
      <c r="AL142" s="79">
        <f t="shared" si="82"/>
        <v>1.566401748518438E-3</v>
      </c>
      <c r="AM142" s="79">
        <f t="shared" si="83"/>
        <v>-3.2407084207675567E-2</v>
      </c>
      <c r="AN142" s="80">
        <f t="shared" si="84"/>
        <v>3.2855079548940409E-2</v>
      </c>
      <c r="AO142">
        <v>35.53</v>
      </c>
      <c r="AP142" s="79">
        <f t="shared" si="85"/>
        <v>-0.15564311849141574</v>
      </c>
      <c r="AQ142" s="79">
        <f t="shared" si="86"/>
        <v>-0.15918145182474908</v>
      </c>
      <c r="AR142" s="79">
        <f t="shared" si="87"/>
        <v>-2.0325156791038086E-2</v>
      </c>
      <c r="AS142" s="80">
        <f t="shared" si="88"/>
        <v>-0.14407631941675025</v>
      </c>
      <c r="AT142" s="178">
        <f t="shared" si="56"/>
        <v>66.035804012372026</v>
      </c>
      <c r="AU142" s="80">
        <f t="shared" si="89"/>
        <v>-2.0187342414720491E-2</v>
      </c>
      <c r="AV142">
        <v>52.15</v>
      </c>
      <c r="AW142" s="79">
        <f t="shared" si="90"/>
        <v>-4.2186001917545327E-3</v>
      </c>
      <c r="AX142" s="79">
        <f t="shared" si="91"/>
        <v>-7.7569335250878661E-3</v>
      </c>
      <c r="AZ142" s="307">
        <f t="shared" si="92"/>
        <v>-3.6313641364028551E-2</v>
      </c>
    </row>
    <row r="143" spans="2:52">
      <c r="B143" s="267">
        <v>42747</v>
      </c>
      <c r="C143">
        <v>44.81</v>
      </c>
      <c r="D143" s="79">
        <f t="shared" si="57"/>
        <v>9.0158446775273349E-2</v>
      </c>
      <c r="E143" s="79">
        <f t="shared" si="58"/>
        <v>8.6620113441940011E-2</v>
      </c>
      <c r="F143" s="258">
        <v>58.47</v>
      </c>
      <c r="G143" s="79">
        <f t="shared" si="59"/>
        <v>0.24063622370446397</v>
      </c>
      <c r="H143" s="79">
        <f t="shared" si="60"/>
        <v>0.23709789037113063</v>
      </c>
      <c r="I143" s="79">
        <f t="shared" si="61"/>
        <v>0.10060281234013793</v>
      </c>
      <c r="J143" s="80">
        <f t="shared" si="62"/>
        <v>0.122874238544884</v>
      </c>
      <c r="K143">
        <v>20.76</v>
      </c>
      <c r="L143" s="79">
        <f t="shared" si="63"/>
        <v>0.13776493256262037</v>
      </c>
      <c r="M143" s="79">
        <f t="shared" si="64"/>
        <v>0.13422659922928704</v>
      </c>
      <c r="N143" s="79">
        <f t="shared" si="65"/>
        <v>0.15469376120705877</v>
      </c>
      <c r="O143" s="80">
        <f t="shared" si="66"/>
        <v>-3.4088001463880441E-2</v>
      </c>
      <c r="P143">
        <v>177.34</v>
      </c>
      <c r="Q143" s="79">
        <f t="shared" si="67"/>
        <v>4.6971918348934161E-2</v>
      </c>
      <c r="R143" s="79">
        <f t="shared" si="68"/>
        <v>4.343358501560083E-2</v>
      </c>
      <c r="S143" s="79">
        <f t="shared" si="93"/>
        <v>6.4093991600358155E-2</v>
      </c>
      <c r="T143" s="80">
        <f t="shared" si="94"/>
        <v>-3.1053611748161888E-2</v>
      </c>
      <c r="U143">
        <v>191.96</v>
      </c>
      <c r="V143" s="79">
        <f t="shared" si="69"/>
        <v>0.40810585538653887</v>
      </c>
      <c r="W143" s="79">
        <f t="shared" si="70"/>
        <v>0.40456752205320556</v>
      </c>
      <c r="X143" s="79">
        <f t="shared" si="71"/>
        <v>9.9493478107192279E-2</v>
      </c>
      <c r="Y143" s="80">
        <f t="shared" si="72"/>
        <v>0.28437804257438298</v>
      </c>
      <c r="Z143" s="269">
        <v>1737.74</v>
      </c>
      <c r="AA143" s="79">
        <f t="shared" si="73"/>
        <v>0.10030844660305911</v>
      </c>
      <c r="AB143" s="79">
        <f t="shared" si="74"/>
        <v>9.6770113269725774E-2</v>
      </c>
      <c r="AC143" s="79">
        <f t="shared" si="75"/>
        <v>8.7055093637056408E-2</v>
      </c>
      <c r="AD143" s="80">
        <f t="shared" si="76"/>
        <v>3.5892011356163378E-3</v>
      </c>
      <c r="AE143">
        <v>189.53</v>
      </c>
      <c r="AF143" s="79">
        <f t="shared" si="77"/>
        <v>5.9990502822772143E-2</v>
      </c>
      <c r="AG143" s="79">
        <f t="shared" si="78"/>
        <v>5.6452169489438812E-2</v>
      </c>
      <c r="AH143" s="79">
        <f t="shared" si="79"/>
        <v>7.3919960738000681E-2</v>
      </c>
      <c r="AI143" s="80">
        <f t="shared" si="80"/>
        <v>-2.111914611016856E-2</v>
      </c>
      <c r="AJ143">
        <v>57.43</v>
      </c>
      <c r="AK143" s="79">
        <f t="shared" si="81"/>
        <v>-1.0795751349468875E-2</v>
      </c>
      <c r="AL143" s="79">
        <f t="shared" si="82"/>
        <v>-1.4334084682802208E-2</v>
      </c>
      <c r="AM143" s="79">
        <f t="shared" si="83"/>
        <v>6.3695681698143616E-2</v>
      </c>
      <c r="AN143" s="80">
        <f t="shared" si="84"/>
        <v>-7.9148172788199425E-2</v>
      </c>
      <c r="AO143">
        <v>32.92</v>
      </c>
      <c r="AP143" s="79">
        <f t="shared" si="85"/>
        <v>7.9283110571081394E-2</v>
      </c>
      <c r="AQ143" s="79">
        <f t="shared" si="86"/>
        <v>7.5744777237748057E-2</v>
      </c>
      <c r="AR143" s="79">
        <f t="shared" si="87"/>
        <v>3.9948818262403075E-2</v>
      </c>
      <c r="AS143" s="80">
        <f t="shared" si="88"/>
        <v>3.0575934592305724E-2</v>
      </c>
      <c r="AT143" s="178">
        <f t="shared" si="56"/>
        <v>67.396357355818807</v>
      </c>
      <c r="AU143" s="80">
        <f t="shared" si="89"/>
        <v>0.13712968080147325</v>
      </c>
      <c r="AV143">
        <v>52.27</v>
      </c>
      <c r="AW143" s="79">
        <f t="shared" si="90"/>
        <v>-2.2957719533193903E-3</v>
      </c>
      <c r="AX143" s="79">
        <f t="shared" si="91"/>
        <v>-5.8341052866527233E-3</v>
      </c>
      <c r="AZ143" s="307">
        <f t="shared" si="92"/>
        <v>9.2454218728592732E-2</v>
      </c>
    </row>
    <row r="144" spans="2:52">
      <c r="B144" s="267">
        <v>42746</v>
      </c>
      <c r="C144">
        <v>43.82</v>
      </c>
      <c r="D144" s="79">
        <f t="shared" si="57"/>
        <v>2.2592423550890049E-2</v>
      </c>
      <c r="E144" s="79">
        <f t="shared" si="58"/>
        <v>1.9054090217556715E-2</v>
      </c>
      <c r="F144" s="258">
        <v>58.84</v>
      </c>
      <c r="G144" s="79">
        <f t="shared" si="59"/>
        <v>-6.2882392929980374E-3</v>
      </c>
      <c r="H144" s="79">
        <f t="shared" si="60"/>
        <v>-9.8265726263313709E-3</v>
      </c>
      <c r="I144" s="79">
        <f t="shared" si="61"/>
        <v>2.2129907088539874E-2</v>
      </c>
      <c r="J144" s="80">
        <f t="shared" si="62"/>
        <v>-4.5577319200979946E-2</v>
      </c>
      <c r="K144">
        <v>20.59</v>
      </c>
      <c r="L144" s="79">
        <f t="shared" si="63"/>
        <v>8.256435162700422E-3</v>
      </c>
      <c r="M144" s="79">
        <f t="shared" si="64"/>
        <v>4.7181018293670895E-3</v>
      </c>
      <c r="N144" s="79">
        <f t="shared" si="65"/>
        <v>3.4028457883608809E-2</v>
      </c>
      <c r="O144" s="80">
        <f t="shared" si="66"/>
        <v>-4.2931195540350423E-2</v>
      </c>
      <c r="P144">
        <v>175.73</v>
      </c>
      <c r="Q144" s="79">
        <f t="shared" si="67"/>
        <v>9.1617822796336065E-3</v>
      </c>
      <c r="R144" s="79">
        <f t="shared" si="68"/>
        <v>5.6234489463002739E-3</v>
      </c>
      <c r="S144" s="79">
        <f t="shared" si="93"/>
        <v>1.4098950576590176E-2</v>
      </c>
      <c r="T144" s="80">
        <f t="shared" si="94"/>
        <v>-1.8868706793694463E-2</v>
      </c>
      <c r="U144">
        <v>187.58</v>
      </c>
      <c r="V144" s="79">
        <f t="shared" si="69"/>
        <v>2.3350037317411212E-2</v>
      </c>
      <c r="W144" s="79">
        <f t="shared" si="70"/>
        <v>1.9811703984077878E-2</v>
      </c>
      <c r="X144" s="79">
        <f t="shared" si="71"/>
        <v>2.1885883458045111E-2</v>
      </c>
      <c r="Y144" s="80">
        <f t="shared" si="72"/>
        <v>-2.277018084559751E-2</v>
      </c>
      <c r="Z144" s="269">
        <v>1739.71</v>
      </c>
      <c r="AA144" s="79">
        <f t="shared" si="73"/>
        <v>-1.1323726368187958E-3</v>
      </c>
      <c r="AB144" s="79">
        <f t="shared" si="74"/>
        <v>-4.6707059701521286E-3</v>
      </c>
      <c r="AC144" s="79">
        <f t="shared" si="75"/>
        <v>1.914977413612089E-2</v>
      </c>
      <c r="AD144" s="80">
        <f t="shared" si="76"/>
        <v>-2.9946298603326052E-2</v>
      </c>
      <c r="AE144">
        <v>179.82</v>
      </c>
      <c r="AF144" s="79">
        <f t="shared" si="77"/>
        <v>5.399844288733182E-2</v>
      </c>
      <c r="AG144" s="79">
        <f t="shared" si="78"/>
        <v>5.0460109553998489E-2</v>
      </c>
      <c r="AH144" s="79">
        <f t="shared" si="79"/>
        <v>1.6260398939839691E-2</v>
      </c>
      <c r="AI144" s="80">
        <f t="shared" si="80"/>
        <v>3.0548355752552107E-2</v>
      </c>
      <c r="AJ144">
        <v>57.82</v>
      </c>
      <c r="AK144" s="79">
        <f t="shared" si="81"/>
        <v>-6.7450709097198296E-3</v>
      </c>
      <c r="AL144" s="79">
        <f t="shared" si="82"/>
        <v>-1.0283404243053162E-2</v>
      </c>
      <c r="AM144" s="79">
        <f t="shared" si="83"/>
        <v>1.4011333134061322E-2</v>
      </c>
      <c r="AN144" s="80">
        <f t="shared" si="84"/>
        <v>-2.5413143784368084E-2</v>
      </c>
      <c r="AO144">
        <v>32.409999999999997</v>
      </c>
      <c r="AP144" s="79">
        <f t="shared" si="85"/>
        <v>1.5735883986424101E-2</v>
      </c>
      <c r="AQ144" s="79">
        <f t="shared" si="86"/>
        <v>1.2197550653090769E-2</v>
      </c>
      <c r="AR144" s="79">
        <f t="shared" si="87"/>
        <v>8.7876632459829001E-3</v>
      </c>
      <c r="AS144" s="80">
        <f t="shared" si="88"/>
        <v>-1.8101369759313925E-3</v>
      </c>
      <c r="AT144" s="178">
        <f t="shared" si="56"/>
        <v>59.268840215582465</v>
      </c>
      <c r="AU144" s="80">
        <f t="shared" si="89"/>
        <v>1.0513046766422651E-2</v>
      </c>
      <c r="AV144">
        <v>52.4</v>
      </c>
      <c r="AW144" s="79">
        <f t="shared" si="90"/>
        <v>-2.4809160305342645E-3</v>
      </c>
      <c r="AX144" s="79">
        <f t="shared" si="91"/>
        <v>-6.0192493638675975E-3</v>
      </c>
      <c r="AZ144" s="307">
        <f t="shared" si="92"/>
        <v>2.5073339581424312E-2</v>
      </c>
    </row>
    <row r="145" spans="2:52">
      <c r="B145" s="267">
        <v>42745</v>
      </c>
      <c r="C145">
        <v>41.28</v>
      </c>
      <c r="D145" s="79">
        <f t="shared" si="57"/>
        <v>6.1531007751937962E-2</v>
      </c>
      <c r="E145" s="79">
        <f t="shared" si="58"/>
        <v>5.7992674418604631E-2</v>
      </c>
      <c r="F145" s="258">
        <v>55.26</v>
      </c>
      <c r="G145" s="79">
        <f t="shared" si="59"/>
        <v>6.4784654361201691E-2</v>
      </c>
      <c r="H145" s="79">
        <f t="shared" si="60"/>
        <v>6.124632102786836E-2</v>
      </c>
      <c r="I145" s="79">
        <f t="shared" si="61"/>
        <v>6.7354173410869314E-2</v>
      </c>
      <c r="J145" s="80">
        <f t="shared" si="62"/>
        <v>-1.9728691869109652E-2</v>
      </c>
      <c r="K145">
        <v>22.1</v>
      </c>
      <c r="L145" s="79">
        <f t="shared" si="63"/>
        <v>-6.8325791855203682E-2</v>
      </c>
      <c r="M145" s="79">
        <f t="shared" si="64"/>
        <v>-7.186412518853702E-2</v>
      </c>
      <c r="N145" s="79">
        <f t="shared" si="65"/>
        <v>0.10356838119686265</v>
      </c>
      <c r="O145" s="80">
        <f t="shared" si="66"/>
        <v>-0.18905334587150838</v>
      </c>
      <c r="P145">
        <v>153.47999999999999</v>
      </c>
      <c r="Q145" s="79">
        <f t="shared" si="67"/>
        <v>0.14497002866823039</v>
      </c>
      <c r="R145" s="79">
        <f t="shared" si="68"/>
        <v>0.14143169533489705</v>
      </c>
      <c r="S145" s="79">
        <f t="shared" si="93"/>
        <v>4.2911303614948285E-2</v>
      </c>
      <c r="T145" s="80">
        <f t="shared" si="94"/>
        <v>8.812718655654421E-2</v>
      </c>
      <c r="U145">
        <v>196.43</v>
      </c>
      <c r="V145" s="79">
        <f t="shared" si="69"/>
        <v>-4.505421778750697E-2</v>
      </c>
      <c r="W145" s="79">
        <f t="shared" si="70"/>
        <v>-4.8592551120840301E-2</v>
      </c>
      <c r="X145" s="79">
        <f t="shared" si="71"/>
        <v>6.6611467630002946E-2</v>
      </c>
      <c r="Y145" s="80">
        <f t="shared" si="72"/>
        <v>-0.13590002012247354</v>
      </c>
      <c r="Z145" s="269">
        <v>1911.96</v>
      </c>
      <c r="AA145" s="79">
        <f t="shared" si="73"/>
        <v>-9.009079687859578E-2</v>
      </c>
      <c r="AB145" s="79">
        <f t="shared" si="74"/>
        <v>-9.3629130211929118E-2</v>
      </c>
      <c r="AC145" s="79">
        <f t="shared" si="75"/>
        <v>5.8283896212614802E-2</v>
      </c>
      <c r="AD145" s="80">
        <f t="shared" si="76"/>
        <v>-0.15803884492159695</v>
      </c>
      <c r="AE145">
        <v>165.78</v>
      </c>
      <c r="AF145" s="79">
        <f t="shared" si="77"/>
        <v>8.4690553745928293E-2</v>
      </c>
      <c r="AG145" s="79">
        <f t="shared" si="78"/>
        <v>8.1152220412594955E-2</v>
      </c>
      <c r="AH145" s="79">
        <f t="shared" si="79"/>
        <v>4.9489847632077866E-2</v>
      </c>
      <c r="AI145" s="80">
        <f t="shared" si="80"/>
        <v>2.8011017918910391E-2</v>
      </c>
      <c r="AJ145">
        <v>54.84</v>
      </c>
      <c r="AK145" s="79">
        <f t="shared" si="81"/>
        <v>5.4339897884755593E-2</v>
      </c>
      <c r="AL145" s="79">
        <f t="shared" si="82"/>
        <v>5.0801564551422262E-2</v>
      </c>
      <c r="AM145" s="79">
        <f t="shared" si="83"/>
        <v>4.2644632797294399E-2</v>
      </c>
      <c r="AN145" s="80">
        <f t="shared" si="84"/>
        <v>7.0385253468742623E-3</v>
      </c>
      <c r="AO145">
        <v>29.1</v>
      </c>
      <c r="AP145" s="79">
        <f t="shared" si="85"/>
        <v>0.11374570446735378</v>
      </c>
      <c r="AQ145" s="79">
        <f t="shared" si="86"/>
        <v>0.11020737113402045</v>
      </c>
      <c r="AR145" s="79">
        <f t="shared" si="87"/>
        <v>2.6745968330466562E-2</v>
      </c>
      <c r="AS145" s="80">
        <f t="shared" si="88"/>
        <v>7.8241378420514623E-2</v>
      </c>
      <c r="AT145" s="178">
        <f t="shared" si="56"/>
        <v>58.65222661423222</v>
      </c>
      <c r="AU145" s="80">
        <f t="shared" si="89"/>
        <v>5.5633781376479542E-2</v>
      </c>
      <c r="AV145">
        <v>52.63</v>
      </c>
      <c r="AW145" s="79">
        <f t="shared" si="90"/>
        <v>-4.370131103933193E-3</v>
      </c>
      <c r="AX145" s="79">
        <f t="shared" si="91"/>
        <v>-7.9084644372665255E-3</v>
      </c>
      <c r="AZ145" s="307">
        <f t="shared" si="92"/>
        <v>6.590113885587115E-2</v>
      </c>
    </row>
    <row r="146" spans="2:52">
      <c r="B146" s="267">
        <v>42744</v>
      </c>
      <c r="C146">
        <v>41.01</v>
      </c>
      <c r="D146" s="79">
        <f t="shared" si="57"/>
        <v>6.5837600585223885E-3</v>
      </c>
      <c r="E146" s="79">
        <f t="shared" si="58"/>
        <v>3.0454267251890555E-3</v>
      </c>
      <c r="F146" s="258">
        <v>48.07</v>
      </c>
      <c r="G146" s="79">
        <f t="shared" si="59"/>
        <v>0.14957353858955685</v>
      </c>
      <c r="H146" s="79">
        <f t="shared" si="60"/>
        <v>0.14603520525622352</v>
      </c>
      <c r="I146" s="79">
        <f t="shared" si="61"/>
        <v>3.5370363897663983E-3</v>
      </c>
      <c r="J146" s="80">
        <f t="shared" si="62"/>
        <v>0.1288773293803484</v>
      </c>
      <c r="K146">
        <v>22.74</v>
      </c>
      <c r="L146" s="79">
        <f t="shared" si="63"/>
        <v>-2.8144239226033291E-2</v>
      </c>
      <c r="M146" s="79">
        <f t="shared" si="64"/>
        <v>-3.1682572559366622E-2</v>
      </c>
      <c r="N146" s="79">
        <f t="shared" si="65"/>
        <v>5.4387889357333475E-3</v>
      </c>
      <c r="O146" s="80">
        <f t="shared" si="66"/>
        <v>-5.0742200981208664E-2</v>
      </c>
      <c r="P146">
        <v>156.54</v>
      </c>
      <c r="Q146" s="79">
        <f t="shared" si="67"/>
        <v>-1.9547719432732865E-2</v>
      </c>
      <c r="R146" s="79">
        <f t="shared" si="68"/>
        <v>-2.3086052766066199E-2</v>
      </c>
      <c r="S146" s="79">
        <f t="shared" si="93"/>
        <v>2.2534437694382435E-3</v>
      </c>
      <c r="T146" s="80">
        <f t="shared" si="94"/>
        <v>-3.5732701698909006E-2</v>
      </c>
      <c r="U146">
        <v>181.35</v>
      </c>
      <c r="V146" s="79">
        <f t="shared" si="69"/>
        <v>8.3154121863799349E-2</v>
      </c>
      <c r="W146" s="79">
        <f t="shared" si="70"/>
        <v>7.9615788530466011E-2</v>
      </c>
      <c r="X146" s="79">
        <f t="shared" si="71"/>
        <v>3.4980339458081109E-3</v>
      </c>
      <c r="Y146" s="80">
        <f t="shared" si="72"/>
        <v>5.5421753213027627E-2</v>
      </c>
      <c r="Z146" s="269">
        <v>1830.82</v>
      </c>
      <c r="AA146" s="79">
        <f t="shared" si="73"/>
        <v>4.4318939054631315E-2</v>
      </c>
      <c r="AB146" s="79">
        <f t="shared" si="74"/>
        <v>4.0780605721297984E-2</v>
      </c>
      <c r="AC146" s="79">
        <f t="shared" si="75"/>
        <v>3.0607199435709891E-3</v>
      </c>
      <c r="AD146" s="80">
        <f t="shared" si="76"/>
        <v>3.1594067280673967E-2</v>
      </c>
      <c r="AE146">
        <v>163.56</v>
      </c>
      <c r="AF146" s="79">
        <f t="shared" si="77"/>
        <v>1.3573000733675709E-2</v>
      </c>
      <c r="AG146" s="79">
        <f t="shared" si="78"/>
        <v>1.0034667400342376E-2</v>
      </c>
      <c r="AH146" s="79">
        <f t="shared" si="79"/>
        <v>2.5989093642474347E-3</v>
      </c>
      <c r="AI146" s="80">
        <f t="shared" si="80"/>
        <v>3.7844031744882485E-3</v>
      </c>
      <c r="AJ146">
        <v>53.71</v>
      </c>
      <c r="AK146" s="79">
        <f t="shared" si="81"/>
        <v>2.1038912679203176E-2</v>
      </c>
      <c r="AL146" s="79">
        <f t="shared" si="82"/>
        <v>1.7500579345869842E-2</v>
      </c>
      <c r="AM146" s="79">
        <f t="shared" si="83"/>
        <v>2.23943982078347E-3</v>
      </c>
      <c r="AN146" s="80">
        <f t="shared" si="84"/>
        <v>1.4142733117832774E-2</v>
      </c>
      <c r="AO146">
        <v>26.05</v>
      </c>
      <c r="AP146" s="79">
        <f t="shared" si="85"/>
        <v>0.11708253358925147</v>
      </c>
      <c r="AQ146" s="79">
        <f t="shared" si="86"/>
        <v>0.11354420025591813</v>
      </c>
      <c r="AR146" s="79">
        <f t="shared" si="87"/>
        <v>1.4045375137679815E-3</v>
      </c>
      <c r="AS146" s="80">
        <f t="shared" si="88"/>
        <v>0.10691963835911089</v>
      </c>
      <c r="AT146" s="178">
        <f t="shared" si="56"/>
        <v>55.561149755697883</v>
      </c>
      <c r="AU146" s="80">
        <f t="shared" si="89"/>
        <v>5.7562683187197067E-2</v>
      </c>
      <c r="AV146">
        <v>52.67</v>
      </c>
      <c r="AW146" s="79">
        <f t="shared" si="90"/>
        <v>-7.5944560470854656E-4</v>
      </c>
      <c r="AX146" s="79">
        <f t="shared" si="91"/>
        <v>-4.2977789380418798E-3</v>
      </c>
      <c r="AZ146" s="307">
        <f t="shared" si="92"/>
        <v>7.3432056632309357E-3</v>
      </c>
    </row>
    <row r="147" spans="2:52">
      <c r="B147" s="267">
        <v>42743</v>
      </c>
      <c r="C147">
        <v>40.86</v>
      </c>
      <c r="D147" s="79">
        <f t="shared" si="57"/>
        <v>3.6710719530102442E-3</v>
      </c>
      <c r="E147" s="79">
        <f t="shared" si="58"/>
        <v>1.3273861967691121E-4</v>
      </c>
      <c r="F147" s="258">
        <v>49.03</v>
      </c>
      <c r="G147" s="79">
        <f t="shared" si="59"/>
        <v>-1.9579849071996752E-2</v>
      </c>
      <c r="H147" s="79">
        <f t="shared" si="60"/>
        <v>-2.3118182405330086E-2</v>
      </c>
      <c r="I147" s="79">
        <f t="shared" si="61"/>
        <v>1.54166023513651E-4</v>
      </c>
      <c r="J147" s="80">
        <f t="shared" si="62"/>
        <v>-3.6893187914952441E-2</v>
      </c>
      <c r="K147">
        <v>23.73</v>
      </c>
      <c r="L147" s="79">
        <f t="shared" si="63"/>
        <v>-4.1719342604298437E-2</v>
      </c>
      <c r="M147" s="79">
        <f t="shared" si="64"/>
        <v>-4.5257675937631768E-2</v>
      </c>
      <c r="N147" s="79">
        <f t="shared" si="65"/>
        <v>2.3705621615259344E-4</v>
      </c>
      <c r="O147" s="80">
        <f t="shared" si="66"/>
        <v>-5.9115571639893061E-2</v>
      </c>
      <c r="P147">
        <v>149.34</v>
      </c>
      <c r="Q147" s="79">
        <f t="shared" si="67"/>
        <v>4.8212133386902292E-2</v>
      </c>
      <c r="R147" s="79">
        <f t="shared" si="68"/>
        <v>4.4673800053568961E-2</v>
      </c>
      <c r="S147" s="79">
        <f t="shared" si="93"/>
        <v>9.8219081418286083E-5</v>
      </c>
      <c r="T147" s="80">
        <f t="shared" si="94"/>
        <v>3.4182375808746113E-2</v>
      </c>
      <c r="U147">
        <v>174.71</v>
      </c>
      <c r="V147" s="79">
        <f t="shared" si="69"/>
        <v>3.8005838246236538E-2</v>
      </c>
      <c r="W147" s="79">
        <f t="shared" si="70"/>
        <v>3.4467504912903207E-2</v>
      </c>
      <c r="X147" s="79">
        <f t="shared" si="71"/>
        <v>1.5246605466126372E-4</v>
      </c>
      <c r="Y147" s="80">
        <f t="shared" si="72"/>
        <v>1.3619037486611666E-2</v>
      </c>
      <c r="Z147" s="269">
        <v>1852.08</v>
      </c>
      <c r="AA147" s="79">
        <f t="shared" si="73"/>
        <v>-1.1478985788950798E-2</v>
      </c>
      <c r="AB147" s="79">
        <f t="shared" si="74"/>
        <v>-1.501731912228413E-2</v>
      </c>
      <c r="AC147" s="79">
        <f t="shared" si="75"/>
        <v>1.3340519315958445E-4</v>
      </c>
      <c r="AD147" s="80">
        <f t="shared" si="76"/>
        <v>-2.1276542812496746E-2</v>
      </c>
      <c r="AE147">
        <v>149.87</v>
      </c>
      <c r="AF147" s="79">
        <f t="shared" si="77"/>
        <v>9.1345833055314588E-2</v>
      </c>
      <c r="AG147" s="79">
        <f t="shared" si="78"/>
        <v>8.780749972198125E-2</v>
      </c>
      <c r="AH147" s="79">
        <f t="shared" si="79"/>
        <v>1.1327661861711277E-4</v>
      </c>
      <c r="AI147" s="80">
        <f t="shared" si="80"/>
        <v>8.404286824175744E-2</v>
      </c>
      <c r="AJ147">
        <v>54.86</v>
      </c>
      <c r="AK147" s="79">
        <f t="shared" si="81"/>
        <v>-2.0962449872402453E-2</v>
      </c>
      <c r="AL147" s="79">
        <f t="shared" si="82"/>
        <v>-2.4500783205735788E-2</v>
      </c>
      <c r="AM147" s="79">
        <f t="shared" si="83"/>
        <v>9.7608702321299077E-5</v>
      </c>
      <c r="AN147" s="80">
        <f t="shared" si="84"/>
        <v>-2.5716798315310683E-2</v>
      </c>
      <c r="AO147">
        <v>26.02</v>
      </c>
      <c r="AP147" s="79">
        <f t="shared" si="85"/>
        <v>1.1529592621061159E-3</v>
      </c>
      <c r="AQ147" s="79">
        <f t="shared" si="86"/>
        <v>-2.3853740712272168E-3</v>
      </c>
      <c r="AR147" s="79">
        <f t="shared" si="87"/>
        <v>6.1218472051869472E-5</v>
      </c>
      <c r="AS147" s="80">
        <f t="shared" si="88"/>
        <v>-7.6666169263183478E-3</v>
      </c>
      <c r="AT147" s="178">
        <f t="shared" si="56"/>
        <v>52.536980208352446</v>
      </c>
      <c r="AU147" s="80">
        <f t="shared" si="89"/>
        <v>1.906325008531249E-2</v>
      </c>
      <c r="AV147">
        <v>52.78</v>
      </c>
      <c r="AW147" s="79">
        <f t="shared" si="90"/>
        <v>-2.0841227737779353E-3</v>
      </c>
      <c r="AX147" s="79">
        <f t="shared" si="91"/>
        <v>-5.6224561071112683E-3</v>
      </c>
      <c r="AZ147" s="307">
        <f t="shared" si="92"/>
        <v>5.7551947267881799E-3</v>
      </c>
    </row>
    <row r="148" spans="2:52">
      <c r="B148" s="267">
        <v>42742</v>
      </c>
      <c r="C148">
        <v>41.74</v>
      </c>
      <c r="D148" s="79">
        <f t="shared" si="57"/>
        <v>-2.1082894106372846E-2</v>
      </c>
      <c r="E148" s="79">
        <f t="shared" si="58"/>
        <v>-2.462122743970618E-2</v>
      </c>
      <c r="F148" s="258">
        <v>49.39</v>
      </c>
      <c r="G148" s="79">
        <f t="shared" si="59"/>
        <v>-7.2889248835796604E-3</v>
      </c>
      <c r="H148" s="79">
        <f t="shared" si="60"/>
        <v>-1.0827258216912994E-2</v>
      </c>
      <c r="I148" s="79">
        <f t="shared" si="61"/>
        <v>-2.8595722463015279E-2</v>
      </c>
      <c r="J148" s="80">
        <f t="shared" si="62"/>
        <v>4.147624759993588E-3</v>
      </c>
      <c r="K148">
        <v>21.56</v>
      </c>
      <c r="L148" s="79">
        <f t="shared" si="63"/>
        <v>0.10064935064935074</v>
      </c>
      <c r="M148" s="79">
        <f t="shared" si="64"/>
        <v>9.7111017316017401E-2</v>
      </c>
      <c r="N148" s="79">
        <f t="shared" si="65"/>
        <v>-4.3970737590127158E-2</v>
      </c>
      <c r="O148" s="80">
        <f t="shared" si="66"/>
        <v>0.12746091542003585</v>
      </c>
      <c r="P148">
        <v>151.03</v>
      </c>
      <c r="Q148" s="79">
        <f t="shared" si="67"/>
        <v>-1.1189829835132078E-2</v>
      </c>
      <c r="R148" s="79">
        <f t="shared" si="68"/>
        <v>-1.4728163168465411E-2</v>
      </c>
      <c r="S148" s="79">
        <f t="shared" si="93"/>
        <v>-1.8218317686328027E-2</v>
      </c>
      <c r="T148" s="80">
        <f t="shared" si="94"/>
        <v>-6.9030506455419437E-3</v>
      </c>
      <c r="U148">
        <v>181.66</v>
      </c>
      <c r="V148" s="79">
        <f t="shared" si="69"/>
        <v>-3.8258284707695635E-2</v>
      </c>
      <c r="W148" s="79">
        <f t="shared" si="70"/>
        <v>-4.1796618041028966E-2</v>
      </c>
      <c r="X148" s="79">
        <f t="shared" si="71"/>
        <v>-2.8280401120538461E-2</v>
      </c>
      <c r="Y148" s="80">
        <f t="shared" si="72"/>
        <v>-3.4212218292120775E-2</v>
      </c>
      <c r="Z148" s="269">
        <v>2028.5</v>
      </c>
      <c r="AA148" s="79">
        <f t="shared" si="73"/>
        <v>-8.6970667981266986E-2</v>
      </c>
      <c r="AB148" s="79">
        <f t="shared" si="74"/>
        <v>-9.0509001314600324E-2</v>
      </c>
      <c r="AC148" s="79">
        <f t="shared" si="75"/>
        <v>-2.4744867849423573E-2</v>
      </c>
      <c r="AD148" s="80">
        <f t="shared" si="76"/>
        <v>-7.1889951962229776E-2</v>
      </c>
      <c r="AE148">
        <v>149.6</v>
      </c>
      <c r="AF148" s="79">
        <f t="shared" si="77"/>
        <v>1.8048128342246675E-3</v>
      </c>
      <c r="AG148" s="79">
        <f t="shared" si="78"/>
        <v>-1.7335204991086655E-3</v>
      </c>
      <c r="AH148" s="79">
        <f t="shared" si="79"/>
        <v>-2.1011288179440923E-2</v>
      </c>
      <c r="AI148" s="80">
        <f t="shared" si="80"/>
        <v>1.5626412818725566E-2</v>
      </c>
      <c r="AJ148">
        <v>53.98</v>
      </c>
      <c r="AK148" s="79">
        <f t="shared" si="81"/>
        <v>1.6302334197851105E-2</v>
      </c>
      <c r="AL148" s="79">
        <f t="shared" si="82"/>
        <v>1.2764000864517773E-2</v>
      </c>
      <c r="AM148" s="79">
        <f t="shared" si="83"/>
        <v>-1.8105100578843115E-2</v>
      </c>
      <c r="AN148" s="80">
        <f t="shared" si="84"/>
        <v>2.9750695036107288E-2</v>
      </c>
      <c r="AO148">
        <v>26.66</v>
      </c>
      <c r="AP148" s="79">
        <f t="shared" si="85"/>
        <v>-2.4006001500375115E-2</v>
      </c>
      <c r="AQ148" s="79">
        <f t="shared" si="86"/>
        <v>-2.754433483370845E-2</v>
      </c>
      <c r="AR148" s="79">
        <f t="shared" si="87"/>
        <v>-1.1355202634840659E-2</v>
      </c>
      <c r="AS148" s="80">
        <f t="shared" si="88"/>
        <v>-2.1409156581907049E-2</v>
      </c>
      <c r="AT148" s="178">
        <f t="shared" si="56"/>
        <v>51.554189795338246</v>
      </c>
      <c r="AU148" s="80">
        <f t="shared" si="89"/>
        <v>-2.239868687634209E-2</v>
      </c>
      <c r="AV148">
        <v>52.76</v>
      </c>
      <c r="AW148" s="79">
        <f t="shared" si="90"/>
        <v>3.7907505686131778E-4</v>
      </c>
      <c r="AX148" s="79">
        <f t="shared" si="91"/>
        <v>-3.1592582764720153E-3</v>
      </c>
      <c r="AZ148" s="307">
        <f t="shared" si="92"/>
        <v>-2.1461969163234167E-2</v>
      </c>
    </row>
    <row r="149" spans="2:52">
      <c r="B149" s="267">
        <v>42741</v>
      </c>
      <c r="C149">
        <v>41.03</v>
      </c>
      <c r="D149" s="79">
        <f t="shared" si="57"/>
        <v>1.7304411406288103E-2</v>
      </c>
      <c r="E149" s="79">
        <f t="shared" si="58"/>
        <v>1.376607807295477E-2</v>
      </c>
      <c r="F149" s="258">
        <v>48.4</v>
      </c>
      <c r="G149" s="79">
        <f t="shared" si="59"/>
        <v>2.0454545454545496E-2</v>
      </c>
      <c r="H149" s="79">
        <f t="shared" si="60"/>
        <v>1.6916212121212162E-2</v>
      </c>
      <c r="I149" s="79">
        <f t="shared" si="61"/>
        <v>1.5988274708984715E-2</v>
      </c>
      <c r="J149" s="80">
        <f t="shared" si="62"/>
        <v>-1.2692902073881253E-2</v>
      </c>
      <c r="K149">
        <v>24.11</v>
      </c>
      <c r="L149" s="79">
        <f t="shared" si="63"/>
        <v>-0.10576524263790961</v>
      </c>
      <c r="M149" s="79">
        <f t="shared" si="64"/>
        <v>-0.10930357597124295</v>
      </c>
      <c r="N149" s="79">
        <f t="shared" si="65"/>
        <v>2.4584664110406391E-2</v>
      </c>
      <c r="O149" s="80">
        <f t="shared" si="66"/>
        <v>-0.14750907956775805</v>
      </c>
      <c r="P149">
        <v>152.38</v>
      </c>
      <c r="Q149" s="79">
        <f t="shared" si="67"/>
        <v>-8.8594303714397849E-3</v>
      </c>
      <c r="R149" s="79">
        <f t="shared" si="68"/>
        <v>-1.2397763704773117E-2</v>
      </c>
      <c r="S149" s="79">
        <f t="shared" si="93"/>
        <v>1.0186120259115611E-2</v>
      </c>
      <c r="T149" s="80">
        <f t="shared" si="94"/>
        <v>-3.2977089127293288E-2</v>
      </c>
      <c r="U149">
        <v>149.41</v>
      </c>
      <c r="V149" s="79">
        <f t="shared" si="69"/>
        <v>0.21584900609062313</v>
      </c>
      <c r="W149" s="79">
        <f t="shared" si="70"/>
        <v>0.21231067275728979</v>
      </c>
      <c r="X149" s="79">
        <f t="shared" si="71"/>
        <v>1.5811974066409742E-2</v>
      </c>
      <c r="Y149" s="80">
        <f t="shared" si="72"/>
        <v>0.17580269731924977</v>
      </c>
      <c r="Z149" s="269">
        <v>1870.52</v>
      </c>
      <c r="AA149" s="79">
        <f t="shared" si="73"/>
        <v>8.4457797831619025E-2</v>
      </c>
      <c r="AB149" s="79">
        <f t="shared" si="74"/>
        <v>8.0919464498285687E-2</v>
      </c>
      <c r="AC149" s="79">
        <f t="shared" si="75"/>
        <v>1.3835207182675634E-2</v>
      </c>
      <c r="AD149" s="80">
        <f t="shared" si="76"/>
        <v>6.0958438818557024E-2</v>
      </c>
      <c r="AE149">
        <v>153.4</v>
      </c>
      <c r="AF149" s="79">
        <f t="shared" si="77"/>
        <v>-2.4771838331160437E-2</v>
      </c>
      <c r="AG149" s="79">
        <f t="shared" si="78"/>
        <v>-2.8310171664493771E-2</v>
      </c>
      <c r="AH149" s="79">
        <f t="shared" si="79"/>
        <v>1.1747709743547503E-2</v>
      </c>
      <c r="AI149" s="80">
        <f t="shared" si="80"/>
        <v>-4.3709236269647969E-2</v>
      </c>
      <c r="AJ149">
        <v>58.31</v>
      </c>
      <c r="AK149" s="79">
        <f t="shared" si="81"/>
        <v>-7.4258274738466912E-2</v>
      </c>
      <c r="AL149" s="79">
        <f t="shared" si="82"/>
        <v>-7.779660807180025E-2</v>
      </c>
      <c r="AM149" s="79">
        <f t="shared" si="83"/>
        <v>1.0122818965764252E-2</v>
      </c>
      <c r="AN149" s="80">
        <f t="shared" si="84"/>
        <v>-8.9037833444818096E-2</v>
      </c>
      <c r="AO149">
        <v>25.23</v>
      </c>
      <c r="AP149" s="79">
        <f t="shared" si="85"/>
        <v>5.6678557273087585E-2</v>
      </c>
      <c r="AQ149" s="79">
        <f t="shared" si="86"/>
        <v>5.3140223939754254E-2</v>
      </c>
      <c r="AR149" s="79">
        <f t="shared" si="87"/>
        <v>6.3488551246372654E-3</v>
      </c>
      <c r="AS149" s="80">
        <f t="shared" si="88"/>
        <v>4.1571344432077724E-2</v>
      </c>
      <c r="AT149" s="178">
        <f t="shared" si="56"/>
        <v>52.73539335847547</v>
      </c>
      <c r="AU149" s="80">
        <f t="shared" si="89"/>
        <v>3.1044149697767042E-2</v>
      </c>
      <c r="AV149">
        <v>52.65</v>
      </c>
      <c r="AW149" s="79">
        <f t="shared" si="90"/>
        <v>2.089268755935412E-3</v>
      </c>
      <c r="AX149" s="79">
        <f t="shared" si="91"/>
        <v>-1.449064577397921E-3</v>
      </c>
      <c r="AZ149" s="307">
        <f t="shared" si="92"/>
        <v>1.5215142650352691E-2</v>
      </c>
    </row>
    <row r="150" spans="2:52">
      <c r="B150" s="267">
        <v>42740</v>
      </c>
      <c r="C150">
        <v>41.88</v>
      </c>
      <c r="D150" s="79">
        <f t="shared" si="57"/>
        <v>-2.0296084049665743E-2</v>
      </c>
      <c r="E150" s="79">
        <f t="shared" si="58"/>
        <v>-2.3834417382999077E-2</v>
      </c>
      <c r="F150" s="258">
        <v>49.73</v>
      </c>
      <c r="G150" s="79">
        <f t="shared" si="59"/>
        <v>-2.6744419867283296E-2</v>
      </c>
      <c r="H150" s="79">
        <f t="shared" si="60"/>
        <v>-3.028275320061663E-2</v>
      </c>
      <c r="I150" s="79">
        <f t="shared" si="61"/>
        <v>-2.7681901165202104E-2</v>
      </c>
      <c r="J150" s="80">
        <f t="shared" si="62"/>
        <v>-1.6221691521523224E-2</v>
      </c>
      <c r="K150">
        <v>22.73</v>
      </c>
      <c r="L150" s="79">
        <f t="shared" si="63"/>
        <v>6.0712714474263046E-2</v>
      </c>
      <c r="M150" s="79">
        <f t="shared" si="64"/>
        <v>5.7174381140929716E-2</v>
      </c>
      <c r="N150" s="79">
        <f t="shared" si="65"/>
        <v>-4.2565583496105522E-2</v>
      </c>
      <c r="O150" s="80">
        <f t="shared" si="66"/>
        <v>8.611912515092654E-2</v>
      </c>
      <c r="P150">
        <v>171.91</v>
      </c>
      <c r="Q150" s="79">
        <f t="shared" si="67"/>
        <v>-0.1136059566052004</v>
      </c>
      <c r="R150" s="79">
        <f t="shared" si="68"/>
        <v>-0.11714428993853374</v>
      </c>
      <c r="S150" s="79">
        <f t="shared" si="93"/>
        <v>-1.7636122683784367E-2</v>
      </c>
      <c r="T150" s="80">
        <f t="shared" si="94"/>
        <v>-0.10990137241815393</v>
      </c>
      <c r="U150">
        <v>163.07</v>
      </c>
      <c r="V150" s="79">
        <f t="shared" si="69"/>
        <v>-8.3767707119641849E-2</v>
      </c>
      <c r="W150" s="79">
        <f t="shared" si="70"/>
        <v>-8.7306040452975187E-2</v>
      </c>
      <c r="X150" s="79">
        <f t="shared" si="71"/>
        <v>-2.7376656412284546E-2</v>
      </c>
      <c r="Y150" s="80">
        <f t="shared" si="72"/>
        <v>-8.0625385412320921E-2</v>
      </c>
      <c r="Z150" s="269">
        <v>1877.09</v>
      </c>
      <c r="AA150" s="79">
        <f t="shared" si="73"/>
        <v>-3.5000985568086436E-3</v>
      </c>
      <c r="AB150" s="79">
        <f t="shared" si="74"/>
        <v>-7.038431890141977E-3</v>
      </c>
      <c r="AC150" s="79">
        <f t="shared" si="75"/>
        <v>-2.3954106668914083E-2</v>
      </c>
      <c r="AD150" s="80">
        <f t="shared" si="76"/>
        <v>1.0789856281719076E-2</v>
      </c>
      <c r="AE150">
        <v>153.51</v>
      </c>
      <c r="AF150" s="79">
        <f t="shared" si="77"/>
        <v>-7.1656569604576395E-4</v>
      </c>
      <c r="AG150" s="79">
        <f t="shared" si="78"/>
        <v>-4.2548990293790967E-3</v>
      </c>
      <c r="AH150" s="79">
        <f t="shared" si="79"/>
        <v>-2.0339839410916306E-2</v>
      </c>
      <c r="AI150" s="80">
        <f t="shared" si="80"/>
        <v>1.2433585519930516E-2</v>
      </c>
      <c r="AJ150">
        <v>63.61</v>
      </c>
      <c r="AK150" s="79">
        <f t="shared" si="81"/>
        <v>-8.3320232667819488E-2</v>
      </c>
      <c r="AL150" s="79">
        <f t="shared" si="82"/>
        <v>-8.6858566001152826E-2</v>
      </c>
      <c r="AM150" s="79">
        <f t="shared" si="83"/>
        <v>-1.7526523607081169E-2</v>
      </c>
      <c r="AN150" s="80">
        <f t="shared" si="84"/>
        <v>-7.0450448801325255E-2</v>
      </c>
      <c r="AO150">
        <v>26.2</v>
      </c>
      <c r="AP150" s="79">
        <f t="shared" si="85"/>
        <v>-3.7022900763358735E-2</v>
      </c>
      <c r="AQ150" s="79">
        <f t="shared" si="86"/>
        <v>-4.0561234096692066E-2</v>
      </c>
      <c r="AR150" s="79">
        <f t="shared" si="87"/>
        <v>-1.0992329270751942E-2</v>
      </c>
      <c r="AS150" s="80">
        <f t="shared" si="88"/>
        <v>-3.4788929208979386E-2</v>
      </c>
      <c r="AT150" s="178">
        <f t="shared" si="56"/>
        <v>51.147560823592222</v>
      </c>
      <c r="AU150" s="80">
        <f t="shared" si="89"/>
        <v>-4.7793139500918284E-2</v>
      </c>
      <c r="AV150">
        <v>52.71</v>
      </c>
      <c r="AW150" s="79">
        <f t="shared" si="90"/>
        <v>-1.1383039271485919E-3</v>
      </c>
      <c r="AX150" s="79">
        <f t="shared" si="91"/>
        <v>-4.6766372604819251E-3</v>
      </c>
      <c r="AZ150" s="307">
        <f t="shared" si="92"/>
        <v>-1.9157780122517152E-2</v>
      </c>
    </row>
    <row r="151" spans="2:52">
      <c r="B151" s="267">
        <v>42739</v>
      </c>
      <c r="C151">
        <v>41.31</v>
      </c>
      <c r="D151" s="79">
        <f t="shared" si="57"/>
        <v>1.379811183732753E-2</v>
      </c>
      <c r="E151" s="79">
        <f t="shared" si="58"/>
        <v>1.0259778503994198E-2</v>
      </c>
      <c r="F151" s="258">
        <v>46.25</v>
      </c>
      <c r="G151" s="79">
        <f t="shared" si="59"/>
        <v>7.5243243243243177E-2</v>
      </c>
      <c r="H151" s="79">
        <f t="shared" si="60"/>
        <v>7.1704909909909839E-2</v>
      </c>
      <c r="I151" s="79">
        <f t="shared" si="61"/>
        <v>1.1915968826115085E-2</v>
      </c>
      <c r="J151" s="80">
        <f t="shared" si="62"/>
        <v>4.6168101597686056E-2</v>
      </c>
      <c r="K151">
        <v>20.94</v>
      </c>
      <c r="L151" s="79">
        <f t="shared" si="63"/>
        <v>8.548233046800377E-2</v>
      </c>
      <c r="M151" s="79">
        <f t="shared" si="64"/>
        <v>8.1943997134670432E-2</v>
      </c>
      <c r="N151" s="79">
        <f t="shared" si="65"/>
        <v>1.8322808212413794E-2</v>
      </c>
      <c r="O151" s="80">
        <f t="shared" si="66"/>
        <v>5.0000349436147937E-2</v>
      </c>
      <c r="P151">
        <v>162.57</v>
      </c>
      <c r="Q151" s="79">
        <f t="shared" si="67"/>
        <v>5.7452174447930146E-2</v>
      </c>
      <c r="R151" s="79">
        <f t="shared" si="68"/>
        <v>5.3913841114596815E-2</v>
      </c>
      <c r="S151" s="79">
        <f t="shared" si="93"/>
        <v>7.591656615611694E-3</v>
      </c>
      <c r="T151" s="80">
        <f t="shared" si="94"/>
        <v>3.5928979335580556E-2</v>
      </c>
      <c r="U151">
        <v>152.19999999999999</v>
      </c>
      <c r="V151" s="79">
        <f t="shared" si="69"/>
        <v>7.1419185282523029E-2</v>
      </c>
      <c r="W151" s="79">
        <f t="shared" si="70"/>
        <v>6.7880851949189691E-2</v>
      </c>
      <c r="X151" s="79">
        <f t="shared" si="71"/>
        <v>1.1784572975143941E-2</v>
      </c>
      <c r="Y151" s="80">
        <f t="shared" si="72"/>
        <v>3.5400277602415472E-2</v>
      </c>
      <c r="Z151" s="269">
        <v>1846.82</v>
      </c>
      <c r="AA151" s="79">
        <f t="shared" si="73"/>
        <v>1.6390335820491431E-2</v>
      </c>
      <c r="AB151" s="79">
        <f t="shared" si="74"/>
        <v>1.2852002487158098E-2</v>
      </c>
      <c r="AC151" s="79">
        <f t="shared" si="75"/>
        <v>1.0311300030325489E-2</v>
      </c>
      <c r="AD151" s="80">
        <f t="shared" si="76"/>
        <v>-3.5851160402204226E-3</v>
      </c>
      <c r="AE151">
        <v>156.1</v>
      </c>
      <c r="AF151" s="79">
        <f t="shared" si="77"/>
        <v>-1.6591928251121098E-2</v>
      </c>
      <c r="AG151" s="79">
        <f t="shared" si="78"/>
        <v>-2.0130261584454433E-2</v>
      </c>
      <c r="AH151" s="79">
        <f t="shared" si="79"/>
        <v>8.7555002419175861E-3</v>
      </c>
      <c r="AI151" s="80">
        <f t="shared" si="80"/>
        <v>-3.2537116687978707E-2</v>
      </c>
      <c r="AJ151">
        <v>60.06</v>
      </c>
      <c r="AK151" s="79">
        <f t="shared" si="81"/>
        <v>5.9107559107559056E-2</v>
      </c>
      <c r="AL151" s="79">
        <f t="shared" si="82"/>
        <v>5.5569225774225725E-2</v>
      </c>
      <c r="AM151" s="79">
        <f t="shared" si="83"/>
        <v>7.5444785271714387E-3</v>
      </c>
      <c r="AN151" s="80">
        <f t="shared" si="84"/>
        <v>4.6906340839800685E-2</v>
      </c>
      <c r="AO151">
        <v>25.06</v>
      </c>
      <c r="AP151" s="79">
        <f t="shared" si="85"/>
        <v>4.5490822027134899E-2</v>
      </c>
      <c r="AQ151" s="79">
        <f t="shared" si="86"/>
        <v>4.1952488693801568E-2</v>
      </c>
      <c r="AR151" s="79">
        <f t="shared" si="87"/>
        <v>4.7317650668201924E-3</v>
      </c>
      <c r="AS151" s="80">
        <f t="shared" si="88"/>
        <v>3.200069924394211E-2</v>
      </c>
      <c r="AT151" s="178">
        <f t="shared" si="56"/>
        <v>53.714757733192727</v>
      </c>
      <c r="AU151" s="80">
        <f t="shared" si="89"/>
        <v>4.0875684782251474E-2</v>
      </c>
      <c r="AV151">
        <v>52.67</v>
      </c>
      <c r="AW151" s="79">
        <f t="shared" si="90"/>
        <v>7.5944560470854656E-4</v>
      </c>
      <c r="AX151" s="79">
        <f t="shared" si="91"/>
        <v>-2.7788877286247862E-3</v>
      </c>
      <c r="AZ151" s="307">
        <f t="shared" si="92"/>
        <v>1.3038666232618984E-2</v>
      </c>
    </row>
    <row r="152" spans="2:52">
      <c r="B152" s="267">
        <v>42738</v>
      </c>
      <c r="C152">
        <v>40.229999999999997</v>
      </c>
      <c r="D152" s="79">
        <f t="shared" si="57"/>
        <v>2.6845637583892752E-2</v>
      </c>
      <c r="E152" s="79">
        <f t="shared" si="58"/>
        <v>2.3307304250559418E-2</v>
      </c>
      <c r="F152" s="258">
        <v>44.33</v>
      </c>
      <c r="G152" s="79">
        <f t="shared" si="59"/>
        <v>4.3311527182494966E-2</v>
      </c>
      <c r="H152" s="79">
        <f t="shared" si="60"/>
        <v>3.9773193849161635E-2</v>
      </c>
      <c r="I152" s="79">
        <f t="shared" si="61"/>
        <v>2.7069698508824912E-2</v>
      </c>
      <c r="J152" s="80">
        <f t="shared" si="62"/>
        <v>-9.1734414577197484E-4</v>
      </c>
      <c r="K152">
        <v>18.55</v>
      </c>
      <c r="L152" s="79">
        <f t="shared" si="63"/>
        <v>0.12884097035040434</v>
      </c>
      <c r="M152" s="79">
        <f t="shared" si="64"/>
        <v>0.12530263701707101</v>
      </c>
      <c r="N152" s="79">
        <f t="shared" si="65"/>
        <v>4.1624218843040489E-2</v>
      </c>
      <c r="O152" s="80">
        <f t="shared" si="66"/>
        <v>7.0057578687921812E-2</v>
      </c>
      <c r="P152">
        <v>153.57</v>
      </c>
      <c r="Q152" s="79">
        <f t="shared" si="67"/>
        <v>5.8605196327407696E-2</v>
      </c>
      <c r="R152" s="79">
        <f t="shared" si="68"/>
        <v>5.5066862994074366E-2</v>
      </c>
      <c r="S152" s="79">
        <f t="shared" si="93"/>
        <v>1.72460887373884E-2</v>
      </c>
      <c r="T152" s="80">
        <f t="shared" si="94"/>
        <v>2.7427569093281402E-2</v>
      </c>
      <c r="U152">
        <v>147.81</v>
      </c>
      <c r="V152" s="79">
        <f t="shared" si="69"/>
        <v>2.9700290914011138E-2</v>
      </c>
      <c r="W152" s="79">
        <f t="shared" si="70"/>
        <v>2.6161957580677804E-2</v>
      </c>
      <c r="X152" s="79">
        <f t="shared" si="71"/>
        <v>2.6771204435619204E-2</v>
      </c>
      <c r="Y152" s="80">
        <f t="shared" si="72"/>
        <v>-2.1305248226571677E-2</v>
      </c>
      <c r="Z152" s="269">
        <v>1779.97</v>
      </c>
      <c r="AA152" s="79">
        <f t="shared" si="73"/>
        <v>3.7556812755271105E-2</v>
      </c>
      <c r="AB152" s="79">
        <f t="shared" si="74"/>
        <v>3.4018479421937774E-2</v>
      </c>
      <c r="AC152" s="79">
        <f t="shared" si="75"/>
        <v>2.3424346532631018E-2</v>
      </c>
      <c r="AD152" s="80">
        <f t="shared" si="76"/>
        <v>4.4683143922537236E-3</v>
      </c>
      <c r="AE152">
        <v>146.83000000000001</v>
      </c>
      <c r="AF152" s="79">
        <f t="shared" si="77"/>
        <v>6.3134236872573593E-2</v>
      </c>
      <c r="AG152" s="79">
        <f t="shared" si="78"/>
        <v>5.9595903539240262E-2</v>
      </c>
      <c r="AH152" s="79">
        <f t="shared" si="79"/>
        <v>1.9890011068443157E-2</v>
      </c>
      <c r="AI152" s="80">
        <f t="shared" si="80"/>
        <v>3.6054537609190418E-2</v>
      </c>
      <c r="AJ152">
        <v>58.39</v>
      </c>
      <c r="AK152" s="79">
        <f t="shared" si="81"/>
        <v>2.8600787806131216E-2</v>
      </c>
      <c r="AL152" s="79">
        <f t="shared" si="82"/>
        <v>2.5062454472797882E-2</v>
      </c>
      <c r="AM152" s="79">
        <f t="shared" si="83"/>
        <v>1.7138913513205078E-2</v>
      </c>
      <c r="AN152" s="80">
        <f t="shared" si="84"/>
        <v>6.8051345523392065E-3</v>
      </c>
      <c r="AO152">
        <v>24.03</v>
      </c>
      <c r="AP152" s="79">
        <f t="shared" si="85"/>
        <v>4.286308780690793E-2</v>
      </c>
      <c r="AQ152" s="79">
        <f t="shared" si="86"/>
        <v>3.93247544735746E-2</v>
      </c>
      <c r="AR152" s="79">
        <f t="shared" si="87"/>
        <v>1.0749226994677546E-2</v>
      </c>
      <c r="AS152" s="80">
        <f t="shared" si="88"/>
        <v>2.335550309585779E-2</v>
      </c>
      <c r="AT152" s="178">
        <f t="shared" si="56"/>
        <v>51.605353567683458</v>
      </c>
      <c r="AU152" s="80">
        <f t="shared" si="89"/>
        <v>4.5767699380601705E-2</v>
      </c>
      <c r="AV152">
        <v>52.62</v>
      </c>
      <c r="AW152" s="79">
        <f t="shared" si="90"/>
        <v>9.5020904599019888E-4</v>
      </c>
      <c r="AX152" s="79">
        <f t="shared" si="91"/>
        <v>-2.5881242873431343E-3</v>
      </c>
      <c r="AZ152" s="307">
        <f t="shared" si="92"/>
        <v>2.5895428537902554E-2</v>
      </c>
    </row>
    <row r="153" spans="2:52">
      <c r="B153" s="267">
        <v>42737</v>
      </c>
      <c r="C153">
        <v>39.799999999999997</v>
      </c>
      <c r="D153" s="79">
        <f t="shared" si="57"/>
        <v>1.0804020100502507E-2</v>
      </c>
      <c r="E153" s="79">
        <f t="shared" si="58"/>
        <v>7.265686767169174E-3</v>
      </c>
      <c r="F153" s="258">
        <v>42.25</v>
      </c>
      <c r="G153" s="79">
        <f t="shared" si="59"/>
        <v>4.9230769230769189E-2</v>
      </c>
      <c r="H153" s="79">
        <f t="shared" si="60"/>
        <v>4.5692435897435858E-2</v>
      </c>
      <c r="I153" s="79">
        <f t="shared" si="61"/>
        <v>8.4385542031145712E-3</v>
      </c>
      <c r="J153" s="80">
        <f t="shared" si="62"/>
        <v>2.3633042208212589E-2</v>
      </c>
      <c r="K153">
        <v>16.670000000000002</v>
      </c>
      <c r="L153" s="79">
        <f t="shared" si="63"/>
        <v>0.11277744451109771</v>
      </c>
      <c r="M153" s="79">
        <f t="shared" si="64"/>
        <v>0.10923911117776437</v>
      </c>
      <c r="N153" s="79">
        <f t="shared" si="65"/>
        <v>1.2975697780852294E-2</v>
      </c>
      <c r="O153" s="80">
        <f t="shared" si="66"/>
        <v>8.2642573910803374E-2</v>
      </c>
      <c r="P153">
        <v>162.26</v>
      </c>
      <c r="Q153" s="79">
        <f t="shared" si="67"/>
        <v>-5.3556021200542328E-2</v>
      </c>
      <c r="R153" s="79">
        <f t="shared" si="68"/>
        <v>-5.7094354533875659E-2</v>
      </c>
      <c r="S153" s="79">
        <f t="shared" si="93"/>
        <v>5.3761978381374025E-3</v>
      </c>
      <c r="T153" s="80">
        <f t="shared" si="94"/>
        <v>-7.2863757535417628E-2</v>
      </c>
      <c r="U153">
        <v>142.13</v>
      </c>
      <c r="V153" s="79">
        <f t="shared" si="69"/>
        <v>3.9963413776120504E-2</v>
      </c>
      <c r="W153" s="79">
        <f t="shared" si="70"/>
        <v>3.6425080442787174E-2</v>
      </c>
      <c r="X153" s="79">
        <f t="shared" si="71"/>
        <v>8.3455033545713694E-3</v>
      </c>
      <c r="Y153" s="80">
        <f t="shared" si="72"/>
        <v>7.3835757165855269E-3</v>
      </c>
      <c r="Z153" s="269">
        <v>1724.13</v>
      </c>
      <c r="AA153" s="79">
        <f t="shared" si="73"/>
        <v>3.2387348981805265E-2</v>
      </c>
      <c r="AB153" s="79">
        <f t="shared" si="74"/>
        <v>2.8849015648471931E-2</v>
      </c>
      <c r="AC153" s="79">
        <f t="shared" si="75"/>
        <v>7.3021728640126774E-3</v>
      </c>
      <c r="AD153" s="80">
        <f t="shared" si="76"/>
        <v>1.5421024287406222E-2</v>
      </c>
      <c r="AE153">
        <v>144.91</v>
      </c>
      <c r="AF153" s="79">
        <f t="shared" si="77"/>
        <v>1.324960320198755E-2</v>
      </c>
      <c r="AG153" s="79">
        <f t="shared" si="78"/>
        <v>9.7112698686542178E-3</v>
      </c>
      <c r="AH153" s="79">
        <f t="shared" si="79"/>
        <v>6.2003991823879516E-3</v>
      </c>
      <c r="AI153" s="80">
        <f t="shared" si="80"/>
        <v>-1.4048417534042682E-4</v>
      </c>
      <c r="AJ153">
        <v>56.87</v>
      </c>
      <c r="AK153" s="79">
        <f t="shared" si="81"/>
        <v>2.6727624406541292E-2</v>
      </c>
      <c r="AL153" s="79">
        <f t="shared" si="82"/>
        <v>2.3189291073207958E-2</v>
      </c>
      <c r="AM153" s="79">
        <f t="shared" si="83"/>
        <v>5.3427876419282691E-3</v>
      </c>
      <c r="AN153" s="80">
        <f t="shared" si="84"/>
        <v>1.6728097024026091E-2</v>
      </c>
      <c r="AO153">
        <v>23.64</v>
      </c>
      <c r="AP153" s="79">
        <f t="shared" si="85"/>
        <v>1.6497461928934035E-2</v>
      </c>
      <c r="AQ153" s="79">
        <f t="shared" si="86"/>
        <v>1.2959128595600703E-2</v>
      </c>
      <c r="AR153" s="79">
        <f t="shared" si="87"/>
        <v>3.3509030256320509E-3</v>
      </c>
      <c r="AS153" s="80">
        <f t="shared" si="88"/>
        <v>4.3882011869293908E-3</v>
      </c>
      <c r="AT153" s="178">
        <f t="shared" si="56"/>
        <v>49.346861256327593</v>
      </c>
      <c r="AU153" s="80">
        <f t="shared" si="89"/>
        <v>1.1383155682728798E-2</v>
      </c>
      <c r="AV153">
        <v>52.63</v>
      </c>
      <c r="AW153" s="79">
        <f t="shared" si="90"/>
        <v>-1.9000570017110234E-4</v>
      </c>
      <c r="AX153" s="79">
        <f t="shared" si="91"/>
        <v>-3.7283390335044351E-3</v>
      </c>
      <c r="AZ153" s="307">
        <f t="shared" si="92"/>
        <v>1.0994025800673608E-2</v>
      </c>
    </row>
    <row r="154" spans="2:52">
      <c r="B154" s="267">
        <v>42736</v>
      </c>
      <c r="C154">
        <v>38.9</v>
      </c>
      <c r="D154" s="79">
        <f t="shared" si="57"/>
        <v>2.3136246786632356E-2</v>
      </c>
      <c r="E154" s="79">
        <f t="shared" si="58"/>
        <v>1.9597913453299021E-2</v>
      </c>
      <c r="F154" s="258">
        <v>41.17</v>
      </c>
      <c r="G154" s="79">
        <f t="shared" si="59"/>
        <v>2.6232693709011375E-2</v>
      </c>
      <c r="H154" s="79">
        <f t="shared" si="60"/>
        <v>2.2694360375678041E-2</v>
      </c>
      <c r="I154" s="79">
        <f t="shared" si="61"/>
        <v>2.2761517285728786E-2</v>
      </c>
      <c r="J154" s="80">
        <f t="shared" si="62"/>
        <v>-1.3687996396159445E-2</v>
      </c>
      <c r="K154">
        <v>16.8</v>
      </c>
      <c r="L154" s="79">
        <f t="shared" si="63"/>
        <v>-7.7380952380951785E-3</v>
      </c>
      <c r="M154" s="79">
        <f t="shared" si="64"/>
        <v>-1.1276428571428512E-2</v>
      </c>
      <c r="N154" s="79">
        <f t="shared" si="65"/>
        <v>3.4999664898076162E-2</v>
      </c>
      <c r="O154" s="80">
        <f t="shared" si="66"/>
        <v>-5.9896932955613373E-2</v>
      </c>
      <c r="P154">
        <v>150.15</v>
      </c>
      <c r="Q154" s="79">
        <f t="shared" si="67"/>
        <v>8.0652680652680553E-2</v>
      </c>
      <c r="R154" s="79">
        <f t="shared" si="68"/>
        <v>7.7114347319347215E-2</v>
      </c>
      <c r="S154" s="79">
        <f t="shared" si="93"/>
        <v>1.4501349055635234E-2</v>
      </c>
      <c r="T154" s="80">
        <f t="shared" si="94"/>
        <v>5.2219793100307423E-2</v>
      </c>
      <c r="U154">
        <v>140.71</v>
      </c>
      <c r="V154" s="79">
        <f t="shared" si="69"/>
        <v>1.0091677919124352E-2</v>
      </c>
      <c r="W154" s="79">
        <f t="shared" si="70"/>
        <v>6.553344585791019E-3</v>
      </c>
      <c r="X154" s="79">
        <f t="shared" si="71"/>
        <v>2.2510528971073404E-2</v>
      </c>
      <c r="Y154" s="80">
        <f t="shared" si="72"/>
        <v>-3.6653185756912662E-2</v>
      </c>
      <c r="Z154" s="269">
        <v>1575.13</v>
      </c>
      <c r="AA154" s="79">
        <f t="shared" si="73"/>
        <v>9.4595366731634836E-2</v>
      </c>
      <c r="AB154" s="79">
        <f t="shared" si="74"/>
        <v>9.1057033398301498E-2</v>
      </c>
      <c r="AC154" s="79">
        <f t="shared" si="75"/>
        <v>1.969632828882685E-2</v>
      </c>
      <c r="AD154" s="80">
        <f t="shared" si="76"/>
        <v>6.5234886612421619E-2</v>
      </c>
      <c r="AE154">
        <v>137.58000000000001</v>
      </c>
      <c r="AF154" s="79">
        <f t="shared" si="77"/>
        <v>5.3278092746038549E-2</v>
      </c>
      <c r="AG154" s="79">
        <f t="shared" si="78"/>
        <v>4.9739759412705219E-2</v>
      </c>
      <c r="AH154" s="79">
        <f t="shared" si="79"/>
        <v>1.6724487367309009E-2</v>
      </c>
      <c r="AI154" s="80">
        <f t="shared" si="80"/>
        <v>2.9363917183789518E-2</v>
      </c>
      <c r="AJ154">
        <v>55.22</v>
      </c>
      <c r="AK154" s="79">
        <f t="shared" si="81"/>
        <v>2.9880478087649376E-2</v>
      </c>
      <c r="AL154" s="79">
        <f t="shared" si="82"/>
        <v>2.6342144754316042E-2</v>
      </c>
      <c r="AM154" s="79">
        <f t="shared" si="83"/>
        <v>1.4411230921624421E-2</v>
      </c>
      <c r="AN154" s="80">
        <f t="shared" si="84"/>
        <v>1.0812507425438022E-2</v>
      </c>
      <c r="AO154">
        <v>22.25</v>
      </c>
      <c r="AP154" s="79">
        <f t="shared" si="85"/>
        <v>6.2471910112359579E-2</v>
      </c>
      <c r="AQ154" s="79">
        <f t="shared" si="86"/>
        <v>5.8933576779026248E-2</v>
      </c>
      <c r="AR154" s="79">
        <f t="shared" si="87"/>
        <v>9.0384721487685483E-3</v>
      </c>
      <c r="AS154" s="80">
        <f t="shared" si="88"/>
        <v>4.4675080247218432E-2</v>
      </c>
      <c r="AT154" s="178">
        <f t="shared" si="56"/>
        <v>48.791460465857035</v>
      </c>
      <c r="AU154" s="80">
        <f t="shared" si="89"/>
        <v>4.964133971005906E-2</v>
      </c>
      <c r="AV154">
        <v>52.57</v>
      </c>
      <c r="AW154" s="79">
        <f t="shared" si="90"/>
        <v>1.1413353623740208E-3</v>
      </c>
      <c r="AX154" s="79">
        <f t="shared" si="91"/>
        <v>-2.3969979709593122E-3</v>
      </c>
      <c r="AZ154" s="307">
        <f t="shared" si="92"/>
        <v>2.1994911424258332E-2</v>
      </c>
    </row>
    <row r="155" spans="2:52">
      <c r="B155" s="267">
        <v>42381</v>
      </c>
      <c r="C155">
        <v>37.76</v>
      </c>
      <c r="D155" s="79">
        <f t="shared" si="57"/>
        <v>3.0190677966101712E-2</v>
      </c>
      <c r="E155" s="79">
        <f t="shared" si="58"/>
        <v>2.6652344632768377E-2</v>
      </c>
      <c r="F155" s="258">
        <v>37.49</v>
      </c>
      <c r="G155" s="79">
        <f t="shared" si="59"/>
        <v>9.8159509202453976E-2</v>
      </c>
      <c r="H155" s="79">
        <f t="shared" si="60"/>
        <v>9.4621175869120638E-2</v>
      </c>
      <c r="I155" s="79">
        <f t="shared" si="61"/>
        <v>3.095471385306266E-2</v>
      </c>
      <c r="J155" s="80">
        <f t="shared" si="62"/>
        <v>5.0045622529949277E-2</v>
      </c>
      <c r="K155">
        <v>14.25</v>
      </c>
      <c r="L155" s="79">
        <f t="shared" si="63"/>
        <v>0.17894736842105269</v>
      </c>
      <c r="M155" s="79">
        <f t="shared" si="64"/>
        <v>0.17540903508771935</v>
      </c>
      <c r="N155" s="79">
        <f t="shared" si="65"/>
        <v>4.7598084006126938E-2</v>
      </c>
      <c r="O155" s="80">
        <f t="shared" si="66"/>
        <v>0.1141901115954837</v>
      </c>
      <c r="P155">
        <v>146.63</v>
      </c>
      <c r="Q155" s="79">
        <f t="shared" si="67"/>
        <v>2.4006001500375164E-2</v>
      </c>
      <c r="R155" s="79">
        <f t="shared" si="68"/>
        <v>2.046766816704183E-2</v>
      </c>
      <c r="S155" s="79">
        <f t="shared" si="93"/>
        <v>1.9721229690694432E-2</v>
      </c>
      <c r="T155" s="80">
        <f t="shared" si="94"/>
        <v>-9.6467666870571622E-3</v>
      </c>
      <c r="U155">
        <v>123.8</v>
      </c>
      <c r="V155" s="79">
        <f t="shared" si="69"/>
        <v>0.13659127625201947</v>
      </c>
      <c r="W155" s="79">
        <f t="shared" si="70"/>
        <v>0.13305294291868613</v>
      </c>
      <c r="X155" s="79">
        <f t="shared" si="71"/>
        <v>3.0613380216860334E-2</v>
      </c>
      <c r="Y155" s="80">
        <f t="shared" si="72"/>
        <v>8.174356133019553E-2</v>
      </c>
      <c r="Z155" s="269">
        <v>1466.06</v>
      </c>
      <c r="AA155" s="79">
        <f t="shared" si="73"/>
        <v>7.4396682264027514E-2</v>
      </c>
      <c r="AB155" s="79">
        <f t="shared" si="74"/>
        <v>7.0858348930694176E-2</v>
      </c>
      <c r="AC155" s="79">
        <f t="shared" si="75"/>
        <v>2.6786184703024598E-2</v>
      </c>
      <c r="AD155" s="80">
        <f t="shared" si="76"/>
        <v>3.7946345730616546E-2</v>
      </c>
      <c r="AE155">
        <v>134.08000000000001</v>
      </c>
      <c r="AF155" s="79">
        <f t="shared" si="77"/>
        <v>2.6103818615751787E-2</v>
      </c>
      <c r="AG155" s="79">
        <f t="shared" si="78"/>
        <v>2.2565485282418453E-2</v>
      </c>
      <c r="AH155" s="79">
        <f t="shared" si="79"/>
        <v>2.2744605040842542E-2</v>
      </c>
      <c r="AI155" s="80">
        <f t="shared" si="80"/>
        <v>-3.8304746200307806E-3</v>
      </c>
      <c r="AJ155">
        <v>55.52</v>
      </c>
      <c r="AK155" s="79">
        <f t="shared" si="81"/>
        <v>-5.4034582132565607E-3</v>
      </c>
      <c r="AL155" s="79">
        <f t="shared" si="82"/>
        <v>-8.9417915465898942E-3</v>
      </c>
      <c r="AM155" s="79">
        <f t="shared" si="83"/>
        <v>1.9598672788346552E-2</v>
      </c>
      <c r="AN155" s="80">
        <f t="shared" si="84"/>
        <v>-2.9658870742190046E-2</v>
      </c>
      <c r="AO155">
        <v>23.04</v>
      </c>
      <c r="AP155" s="79">
        <f t="shared" si="85"/>
        <v>-3.4288194444444406E-2</v>
      </c>
      <c r="AQ155" s="79">
        <f t="shared" si="86"/>
        <v>-3.7826527777777737E-2</v>
      </c>
      <c r="AR155" s="79">
        <f t="shared" si="87"/>
        <v>1.2291945019387076E-2</v>
      </c>
      <c r="AS155" s="80">
        <f t="shared" si="88"/>
        <v>-5.5338497180204074E-2</v>
      </c>
      <c r="AT155" s="178">
        <f t="shared" si="56"/>
        <v>46.483935626367987</v>
      </c>
      <c r="AU155" s="80">
        <f t="shared" si="89"/>
        <v>4.9651248680171067E-2</v>
      </c>
      <c r="AV155">
        <v>52.47</v>
      </c>
      <c r="AW155" s="79">
        <f t="shared" si="90"/>
        <v>1.9058509624547632E-3</v>
      </c>
      <c r="AX155" s="79">
        <f t="shared" si="91"/>
        <v>-1.6324823708785698E-3</v>
      </c>
      <c r="AZ155" s="307">
        <f t="shared" si="92"/>
        <v>2.8284827003646946E-2</v>
      </c>
    </row>
    <row r="156" spans="2:52">
      <c r="B156" s="267">
        <v>42380</v>
      </c>
      <c r="C156">
        <v>37.79</v>
      </c>
      <c r="D156" s="79">
        <f t="shared" si="57"/>
        <v>-7.9386080973805609E-4</v>
      </c>
      <c r="E156" s="79">
        <f t="shared" si="58"/>
        <v>-4.3321941430713891E-3</v>
      </c>
      <c r="F156" s="258">
        <v>37.53</v>
      </c>
      <c r="G156" s="79">
        <f t="shared" si="59"/>
        <v>-1.0658140154542804E-3</v>
      </c>
      <c r="H156" s="79">
        <f t="shared" si="60"/>
        <v>-4.6041473487876136E-3</v>
      </c>
      <c r="I156" s="79">
        <f t="shared" si="61"/>
        <v>-5.0315209375543669E-3</v>
      </c>
      <c r="J156" s="80">
        <f t="shared" si="62"/>
        <v>-1.3193465897341947E-2</v>
      </c>
      <c r="K156">
        <v>12.63</v>
      </c>
      <c r="L156" s="79">
        <f t="shared" si="63"/>
        <v>0.1282660332541567</v>
      </c>
      <c r="M156" s="79">
        <f t="shared" si="64"/>
        <v>0.12472769992082336</v>
      </c>
      <c r="N156" s="79">
        <f t="shared" si="65"/>
        <v>-7.7368105355819367E-3</v>
      </c>
      <c r="O156" s="80">
        <f t="shared" si="66"/>
        <v>0.11884367097029659</v>
      </c>
      <c r="P156">
        <v>137.47</v>
      </c>
      <c r="Q156" s="79">
        <f t="shared" si="67"/>
        <v>6.6632719866152587E-2</v>
      </c>
      <c r="R156" s="79">
        <f t="shared" si="68"/>
        <v>6.3094386532819249E-2</v>
      </c>
      <c r="S156" s="79">
        <f t="shared" si="93"/>
        <v>-3.2055789814135292E-3</v>
      </c>
      <c r="T156" s="80">
        <f t="shared" si="94"/>
        <v>5.590676035082822E-2</v>
      </c>
      <c r="U156">
        <v>117</v>
      </c>
      <c r="V156" s="79">
        <f t="shared" si="69"/>
        <v>5.8119658119658094E-2</v>
      </c>
      <c r="W156" s="79">
        <f t="shared" si="70"/>
        <v>5.4581324786324763E-2</v>
      </c>
      <c r="X156" s="79">
        <f t="shared" si="71"/>
        <v>-4.9760390052904823E-3</v>
      </c>
      <c r="Y156" s="80">
        <f t="shared" si="72"/>
        <v>3.8861362419984967E-2</v>
      </c>
      <c r="Z156" s="269">
        <v>1503.68</v>
      </c>
      <c r="AA156" s="79">
        <f t="shared" si="73"/>
        <v>-2.5018620983187991E-2</v>
      </c>
      <c r="AB156" s="79">
        <f t="shared" si="74"/>
        <v>-2.8556954316521325E-2</v>
      </c>
      <c r="AC156" s="79">
        <f t="shared" si="75"/>
        <v>-4.353949120971509E-3</v>
      </c>
      <c r="AD156" s="80">
        <f t="shared" si="76"/>
        <v>-3.0328823692602844E-2</v>
      </c>
      <c r="AE156">
        <v>129.4</v>
      </c>
      <c r="AF156" s="79">
        <f t="shared" si="77"/>
        <v>3.61669242658424E-2</v>
      </c>
      <c r="AG156" s="79">
        <f t="shared" si="78"/>
        <v>3.2628590932509069E-2</v>
      </c>
      <c r="AH156" s="79">
        <f t="shared" si="79"/>
        <v>-3.6970122554720744E-3</v>
      </c>
      <c r="AI156" s="80">
        <f t="shared" si="80"/>
        <v>3.2674248326374451E-2</v>
      </c>
      <c r="AJ156">
        <v>57.97</v>
      </c>
      <c r="AK156" s="79">
        <f t="shared" si="81"/>
        <v>-4.2263239606693044E-2</v>
      </c>
      <c r="AL156" s="79">
        <f t="shared" si="82"/>
        <v>-4.5801572940026375E-2</v>
      </c>
      <c r="AM156" s="79">
        <f t="shared" si="83"/>
        <v>-3.1856580212931323E-3</v>
      </c>
      <c r="AN156" s="80">
        <f t="shared" si="84"/>
        <v>-4.3734321325986841E-2</v>
      </c>
      <c r="AO156">
        <v>23.48</v>
      </c>
      <c r="AP156" s="79">
        <f t="shared" si="85"/>
        <v>-1.8739352640545198E-2</v>
      </c>
      <c r="AQ156" s="79">
        <f t="shared" si="86"/>
        <v>-2.2277685973878532E-2</v>
      </c>
      <c r="AR156" s="79">
        <f t="shared" si="87"/>
        <v>-1.9979890307464119E-3</v>
      </c>
      <c r="AS156" s="80">
        <f t="shared" si="88"/>
        <v>-2.5499721326171381E-2</v>
      </c>
      <c r="AT156" s="178">
        <f t="shared" si="56"/>
        <v>44.285123925510284</v>
      </c>
      <c r="AU156" s="80">
        <f t="shared" si="89"/>
        <v>1.8683221495845816E-2</v>
      </c>
      <c r="AV156">
        <v>52.48</v>
      </c>
      <c r="AW156" s="79">
        <f t="shared" si="90"/>
        <v>-1.9054878048776699E-4</v>
      </c>
      <c r="AX156" s="79">
        <f t="shared" si="91"/>
        <v>-3.7288821138210999E-3</v>
      </c>
      <c r="AZ156" s="307">
        <f t="shared" si="92"/>
        <v>-6.033120292502892E-4</v>
      </c>
    </row>
    <row r="157" spans="2:52">
      <c r="B157" s="267">
        <v>42379</v>
      </c>
      <c r="C157">
        <v>35.93</v>
      </c>
      <c r="D157" s="79">
        <f t="shared" si="57"/>
        <v>5.1767325354856647E-2</v>
      </c>
      <c r="E157" s="79">
        <f t="shared" si="58"/>
        <v>4.8228992021523316E-2</v>
      </c>
      <c r="F157" s="258">
        <v>39.49</v>
      </c>
      <c r="G157" s="79">
        <f t="shared" si="59"/>
        <v>-4.9632818435046869E-2</v>
      </c>
      <c r="H157" s="79">
        <f t="shared" si="60"/>
        <v>-5.31711517683802E-2</v>
      </c>
      <c r="I157" s="79">
        <f t="shared" si="61"/>
        <v>5.6014383275398441E-2</v>
      </c>
      <c r="J157" s="80">
        <f t="shared" si="62"/>
        <v>-0.12280637452988734</v>
      </c>
      <c r="K157">
        <v>13.18</v>
      </c>
      <c r="L157" s="79">
        <f t="shared" si="63"/>
        <v>-4.1729893778452119E-2</v>
      </c>
      <c r="M157" s="79">
        <f t="shared" si="64"/>
        <v>-4.526822711178545E-2</v>
      </c>
      <c r="N157" s="79">
        <f t="shared" si="65"/>
        <v>8.6131544725296008E-2</v>
      </c>
      <c r="O157" s="80">
        <f t="shared" si="66"/>
        <v>-0.14502061132319016</v>
      </c>
      <c r="P157">
        <v>135.41999999999999</v>
      </c>
      <c r="Q157" s="79">
        <f t="shared" si="67"/>
        <v>1.5138088908580797E-2</v>
      </c>
      <c r="R157" s="79">
        <f t="shared" si="68"/>
        <v>1.1599755575247464E-2</v>
      </c>
      <c r="S157" s="79">
        <f t="shared" si="93"/>
        <v>3.5686730098699618E-2</v>
      </c>
      <c r="T157" s="80">
        <f t="shared" si="94"/>
        <v>-3.448017968685671E-2</v>
      </c>
      <c r="U157">
        <v>124.87</v>
      </c>
      <c r="V157" s="79">
        <f t="shared" si="69"/>
        <v>-6.3025546568431207E-2</v>
      </c>
      <c r="W157" s="79">
        <f t="shared" si="70"/>
        <v>-6.6563879901764544E-2</v>
      </c>
      <c r="X157" s="79">
        <f t="shared" si="71"/>
        <v>5.5396719897414064E-2</v>
      </c>
      <c r="Y157" s="80">
        <f t="shared" si="72"/>
        <v>-0.14265660117080889</v>
      </c>
      <c r="Z157" s="269">
        <v>1474.23</v>
      </c>
      <c r="AA157" s="79">
        <f t="shared" si="73"/>
        <v>1.9976530120808859E-2</v>
      </c>
      <c r="AB157" s="79">
        <f t="shared" si="74"/>
        <v>1.6438196787475524E-2</v>
      </c>
      <c r="AC157" s="79">
        <f t="shared" si="75"/>
        <v>4.8471183534858742E-2</v>
      </c>
      <c r="AD157" s="80">
        <f t="shared" si="76"/>
        <v>-3.8158805244436253E-2</v>
      </c>
      <c r="AE157">
        <v>122.01</v>
      </c>
      <c r="AF157" s="79">
        <f t="shared" si="77"/>
        <v>6.0568805835587249E-2</v>
      </c>
      <c r="AG157" s="79">
        <f t="shared" si="78"/>
        <v>5.7030472502253918E-2</v>
      </c>
      <c r="AH157" s="79">
        <f t="shared" si="79"/>
        <v>4.1157706391760474E-2</v>
      </c>
      <c r="AI157" s="80">
        <f t="shared" si="80"/>
        <v>1.2221411248886753E-2</v>
      </c>
      <c r="AJ157">
        <v>53.07</v>
      </c>
      <c r="AK157" s="79">
        <f t="shared" si="81"/>
        <v>9.2330883738458616E-2</v>
      </c>
      <c r="AL157" s="79">
        <f t="shared" si="82"/>
        <v>8.8792550405125278E-2</v>
      </c>
      <c r="AM157" s="79">
        <f t="shared" si="83"/>
        <v>3.5464956144214153E-2</v>
      </c>
      <c r="AN157" s="80">
        <f t="shared" si="84"/>
        <v>5.2209187853657531E-2</v>
      </c>
      <c r="AO157">
        <v>23.34</v>
      </c>
      <c r="AP157" s="79">
        <f t="shared" si="85"/>
        <v>5.9982862039417552E-3</v>
      </c>
      <c r="AQ157" s="79">
        <f t="shared" si="86"/>
        <v>2.4599528706084222E-3</v>
      </c>
      <c r="AR157" s="79">
        <f t="shared" si="87"/>
        <v>2.2243000622922889E-2</v>
      </c>
      <c r="AS157" s="80">
        <f t="shared" si="88"/>
        <v>-2.5003072135353729E-2</v>
      </c>
      <c r="AT157" s="178">
        <f t="shared" si="56"/>
        <v>43.472909920398521</v>
      </c>
      <c r="AU157" s="80">
        <f t="shared" si="89"/>
        <v>-3.635861169472716E-3</v>
      </c>
      <c r="AV157">
        <v>52.78</v>
      </c>
      <c r="AW157" s="79">
        <f t="shared" si="90"/>
        <v>-5.6839712012126615E-3</v>
      </c>
      <c r="AX157" s="79">
        <f t="shared" si="91"/>
        <v>-9.2223045345459949E-3</v>
      </c>
      <c r="AZ157" s="307">
        <f t="shared" si="92"/>
        <v>5.7451296556069315E-2</v>
      </c>
    </row>
    <row r="158" spans="2:52">
      <c r="B158" s="267">
        <v>42378</v>
      </c>
      <c r="C158">
        <v>36.78</v>
      </c>
      <c r="D158" s="79">
        <f t="shared" si="57"/>
        <v>-2.3110386079391011E-2</v>
      </c>
      <c r="E158" s="79">
        <f t="shared" si="58"/>
        <v>-2.6648719412724346E-2</v>
      </c>
      <c r="F158" s="258">
        <v>41.87</v>
      </c>
      <c r="G158" s="79">
        <f t="shared" si="59"/>
        <v>-5.6842608072605577E-2</v>
      </c>
      <c r="H158" s="79">
        <f t="shared" si="60"/>
        <v>-6.0380941405938908E-2</v>
      </c>
      <c r="I158" s="79">
        <f t="shared" si="61"/>
        <v>-3.0950503429902389E-2</v>
      </c>
      <c r="J158" s="80">
        <f t="shared" si="62"/>
        <v>-4.3051277462145217E-2</v>
      </c>
      <c r="K158">
        <v>13.6</v>
      </c>
      <c r="L158" s="79">
        <f t="shared" si="63"/>
        <v>-3.0882352941176465E-2</v>
      </c>
      <c r="M158" s="79">
        <f t="shared" si="64"/>
        <v>-3.4420686274509796E-2</v>
      </c>
      <c r="N158" s="79">
        <f t="shared" si="65"/>
        <v>-4.7591609771661859E-2</v>
      </c>
      <c r="O158" s="80">
        <f t="shared" si="66"/>
        <v>-4.4991598895663398E-4</v>
      </c>
      <c r="P158">
        <v>139.66999999999999</v>
      </c>
      <c r="Q158" s="79">
        <f t="shared" si="67"/>
        <v>-3.0428868046108688E-2</v>
      </c>
      <c r="R158" s="79">
        <f t="shared" si="68"/>
        <v>-3.3967201379442022E-2</v>
      </c>
      <c r="S158" s="79">
        <f t="shared" si="93"/>
        <v>-1.9718547232616061E-2</v>
      </c>
      <c r="T158" s="80">
        <f t="shared" si="94"/>
        <v>-2.4641859310230517E-2</v>
      </c>
      <c r="U158">
        <v>98.55</v>
      </c>
      <c r="V158" s="79">
        <f t="shared" si="69"/>
        <v>0.26707255200405894</v>
      </c>
      <c r="W158" s="79">
        <f t="shared" si="70"/>
        <v>0.26353421867072563</v>
      </c>
      <c r="X158" s="79">
        <f t="shared" si="71"/>
        <v>-3.0609216221493065E-2</v>
      </c>
      <c r="Y158" s="80">
        <f t="shared" si="72"/>
        <v>0.27344743352058842</v>
      </c>
      <c r="Z158" s="269">
        <v>1471.49</v>
      </c>
      <c r="AA158" s="79">
        <f t="shared" si="73"/>
        <v>1.8620581859203997E-3</v>
      </c>
      <c r="AB158" s="79">
        <f t="shared" si="74"/>
        <v>-1.6762751474129333E-3</v>
      </c>
      <c r="AC158" s="79">
        <f t="shared" si="75"/>
        <v>-2.6782541278214268E-2</v>
      </c>
      <c r="AD158" s="80">
        <f t="shared" si="76"/>
        <v>1.8980447633748301E-2</v>
      </c>
      <c r="AE158">
        <v>128.68</v>
      </c>
      <c r="AF158" s="79">
        <f t="shared" si="77"/>
        <v>-5.183400683866958E-2</v>
      </c>
      <c r="AG158" s="79">
        <f t="shared" si="78"/>
        <v>-5.5372340172002911E-2</v>
      </c>
      <c r="AH158" s="79">
        <f t="shared" si="79"/>
        <v>-2.274151134686463E-2</v>
      </c>
      <c r="AI158" s="80">
        <f t="shared" si="80"/>
        <v>-3.6282183686744976E-2</v>
      </c>
      <c r="AJ158">
        <v>54.14</v>
      </c>
      <c r="AK158" s="79">
        <f t="shared" si="81"/>
        <v>-1.9763575914296273E-2</v>
      </c>
      <c r="AL158" s="79">
        <f t="shared" si="82"/>
        <v>-2.3301909247629607E-2</v>
      </c>
      <c r="AM158" s="79">
        <f t="shared" si="83"/>
        <v>-1.9596007000311475E-2</v>
      </c>
      <c r="AN158" s="80">
        <f t="shared" si="84"/>
        <v>-4.8243086545717295E-3</v>
      </c>
      <c r="AO158">
        <v>24.04</v>
      </c>
      <c r="AP158" s="79">
        <f t="shared" si="85"/>
        <v>-2.9118136439267858E-2</v>
      </c>
      <c r="AQ158" s="79">
        <f t="shared" si="86"/>
        <v>-3.2656469772601192E-2</v>
      </c>
      <c r="AR158" s="79">
        <f t="shared" si="87"/>
        <v>-1.2290273083725189E-2</v>
      </c>
      <c r="AS158" s="80">
        <f t="shared" si="88"/>
        <v>-2.5586221071915265E-2</v>
      </c>
      <c r="AT158" s="178">
        <f t="shared" si="56"/>
        <v>43.631548172161658</v>
      </c>
      <c r="AU158" s="80">
        <f t="shared" si="89"/>
        <v>-9.3359389711945746E-3</v>
      </c>
      <c r="AV158">
        <v>52.88</v>
      </c>
      <c r="AW158" s="79">
        <f t="shared" si="90"/>
        <v>-1.8910741301059269E-3</v>
      </c>
      <c r="AX158" s="79">
        <f t="shared" si="91"/>
        <v>-5.4294074634392599E-3</v>
      </c>
      <c r="AZ158" s="307">
        <f t="shared" si="92"/>
        <v>-2.1219311949285086E-2</v>
      </c>
    </row>
    <row r="159" spans="2:52">
      <c r="B159" s="267">
        <v>42377</v>
      </c>
      <c r="C159">
        <v>36.85</v>
      </c>
      <c r="D159" s="79">
        <f t="shared" si="57"/>
        <v>-1.8995929443690715E-3</v>
      </c>
      <c r="E159" s="79">
        <f t="shared" si="58"/>
        <v>-5.4379262777024045E-3</v>
      </c>
      <c r="F159" s="258">
        <v>38.46</v>
      </c>
      <c r="G159" s="79">
        <f t="shared" si="59"/>
        <v>8.8663546541861579E-2</v>
      </c>
      <c r="H159" s="79">
        <f t="shared" si="60"/>
        <v>8.5125213208528241E-2</v>
      </c>
      <c r="I159" s="79">
        <f t="shared" si="61"/>
        <v>-6.3157464830831929E-3</v>
      </c>
      <c r="J159" s="80">
        <f t="shared" si="62"/>
        <v>7.7820120205502732E-2</v>
      </c>
      <c r="K159">
        <v>14.13</v>
      </c>
      <c r="L159" s="79">
        <f t="shared" si="63"/>
        <v>-3.7508846426043956E-2</v>
      </c>
      <c r="M159" s="79">
        <f t="shared" si="64"/>
        <v>-4.1047179759377286E-2</v>
      </c>
      <c r="N159" s="79">
        <f t="shared" si="65"/>
        <v>-9.7115235207852341E-3</v>
      </c>
      <c r="O159" s="80">
        <f t="shared" si="66"/>
        <v>-4.495649572470075E-2</v>
      </c>
      <c r="P159">
        <v>148.44</v>
      </c>
      <c r="Q159" s="79">
        <f t="shared" si="67"/>
        <v>-5.9081110212880698E-2</v>
      </c>
      <c r="R159" s="79">
        <f t="shared" si="68"/>
        <v>-6.2619443546214029E-2</v>
      </c>
      <c r="S159" s="79">
        <f t="shared" si="93"/>
        <v>-4.0237583087448176E-3</v>
      </c>
      <c r="T159" s="80">
        <f t="shared" si="94"/>
        <v>-6.8988890400873762E-2</v>
      </c>
      <c r="U159">
        <v>97.45</v>
      </c>
      <c r="V159" s="79">
        <f t="shared" si="69"/>
        <v>1.1287839917906561E-2</v>
      </c>
      <c r="W159" s="79">
        <f t="shared" si="70"/>
        <v>7.7495065845732281E-3</v>
      </c>
      <c r="X159" s="79">
        <f t="shared" si="71"/>
        <v>-6.2461035614061917E-3</v>
      </c>
      <c r="Y159" s="80">
        <f t="shared" si="72"/>
        <v>-6.7003912256508574E-3</v>
      </c>
      <c r="Z159" s="269">
        <v>1416.73</v>
      </c>
      <c r="AA159" s="79">
        <f t="shared" si="73"/>
        <v>3.8652389657874112E-2</v>
      </c>
      <c r="AB159" s="79">
        <f t="shared" si="74"/>
        <v>3.5114056324540781E-2</v>
      </c>
      <c r="AC159" s="79">
        <f t="shared" si="75"/>
        <v>-5.4652339102984884E-3</v>
      </c>
      <c r="AD159" s="80">
        <f t="shared" si="76"/>
        <v>3.4453471737786234E-2</v>
      </c>
      <c r="AE159">
        <v>134.12</v>
      </c>
      <c r="AF159" s="79">
        <f t="shared" si="77"/>
        <v>-4.0560691917685639E-2</v>
      </c>
      <c r="AG159" s="79">
        <f t="shared" si="78"/>
        <v>-4.409902525101897E-2</v>
      </c>
      <c r="AH159" s="79">
        <f t="shared" si="79"/>
        <v>-4.6406230720690347E-3</v>
      </c>
      <c r="AI159" s="80">
        <f t="shared" si="80"/>
        <v>-4.3109757040556626E-2</v>
      </c>
      <c r="AJ159">
        <v>56.23</v>
      </c>
      <c r="AK159" s="79">
        <f t="shared" si="81"/>
        <v>-3.7168771118619888E-2</v>
      </c>
      <c r="AL159" s="79">
        <f t="shared" si="82"/>
        <v>-4.0707104451953219E-2</v>
      </c>
      <c r="AM159" s="79">
        <f t="shared" si="83"/>
        <v>-3.9987528013879919E-3</v>
      </c>
      <c r="AN159" s="80">
        <f t="shared" si="84"/>
        <v>-3.7826758057818828E-2</v>
      </c>
      <c r="AO159">
        <v>23.81</v>
      </c>
      <c r="AP159" s="79">
        <f t="shared" si="85"/>
        <v>9.6598068038639406E-3</v>
      </c>
      <c r="AQ159" s="79">
        <f t="shared" si="86"/>
        <v>6.1214734705306081E-3</v>
      </c>
      <c r="AR159" s="79">
        <f t="shared" si="87"/>
        <v>-2.5079478652252152E-3</v>
      </c>
      <c r="AS159" s="80">
        <f t="shared" si="88"/>
        <v>3.4093969527165622E-3</v>
      </c>
      <c r="AT159" s="178">
        <f t="shared" si="56"/>
        <v>44.042728396597184</v>
      </c>
      <c r="AU159" s="80">
        <f t="shared" si="89"/>
        <v>2.6564987166239982E-3</v>
      </c>
      <c r="AV159">
        <v>52.94</v>
      </c>
      <c r="AW159" s="79">
        <f t="shared" si="90"/>
        <v>-1.1333585190781105E-3</v>
      </c>
      <c r="AX159" s="79">
        <f t="shared" si="91"/>
        <v>-4.6716918524114439E-3</v>
      </c>
      <c r="AZ159" s="307">
        <f t="shared" si="92"/>
        <v>-7.6623442529096062E-4</v>
      </c>
    </row>
    <row r="160" spans="2:52">
      <c r="B160" s="267">
        <v>42376</v>
      </c>
      <c r="C160">
        <v>37.33</v>
      </c>
      <c r="D160" s="79">
        <f t="shared" si="57"/>
        <v>-1.2858290918831955E-2</v>
      </c>
      <c r="E160" s="79">
        <f t="shared" si="58"/>
        <v>-1.6396624252165287E-2</v>
      </c>
      <c r="F160" s="258">
        <v>37.94</v>
      </c>
      <c r="G160" s="79">
        <f t="shared" si="59"/>
        <v>1.3705851344227811E-2</v>
      </c>
      <c r="H160" s="79">
        <f t="shared" si="60"/>
        <v>1.0167518010894478E-2</v>
      </c>
      <c r="I160" s="79">
        <f t="shared" si="61"/>
        <v>-1.9043458235113046E-2</v>
      </c>
      <c r="J160" s="80">
        <f t="shared" si="62"/>
        <v>1.5590136759898825E-2</v>
      </c>
      <c r="K160">
        <v>15.65</v>
      </c>
      <c r="L160" s="79">
        <f t="shared" si="63"/>
        <v>-9.7124600638977612E-2</v>
      </c>
      <c r="M160" s="79">
        <f t="shared" si="64"/>
        <v>-0.10066293397231095</v>
      </c>
      <c r="N160" s="79">
        <f t="shared" si="65"/>
        <v>-2.9282523144771318E-2</v>
      </c>
      <c r="O160" s="80">
        <f t="shared" si="66"/>
        <v>-8.500125031364833E-2</v>
      </c>
      <c r="P160">
        <v>153.13999999999999</v>
      </c>
      <c r="Q160" s="79">
        <f t="shared" si="67"/>
        <v>-3.0690871098341316E-2</v>
      </c>
      <c r="R160" s="79">
        <f t="shared" si="68"/>
        <v>-3.4229204431674647E-2</v>
      </c>
      <c r="S160" s="79">
        <f t="shared" si="93"/>
        <v>-1.2132575857187348E-2</v>
      </c>
      <c r="T160" s="80">
        <f t="shared" si="94"/>
        <v>-3.2489833737891861E-2</v>
      </c>
      <c r="U160">
        <v>91.25</v>
      </c>
      <c r="V160" s="79">
        <f t="shared" si="69"/>
        <v>6.7945205479452084E-2</v>
      </c>
      <c r="W160" s="79">
        <f t="shared" si="70"/>
        <v>6.4406872146118746E-2</v>
      </c>
      <c r="X160" s="79">
        <f t="shared" si="71"/>
        <v>-1.8833468477943476E-2</v>
      </c>
      <c r="Y160" s="80">
        <f t="shared" si="72"/>
        <v>6.2544339252431941E-2</v>
      </c>
      <c r="Z160" s="269">
        <v>1350.81</v>
      </c>
      <c r="AA160" s="79">
        <f t="shared" si="73"/>
        <v>4.8800349419977698E-2</v>
      </c>
      <c r="AB160" s="79">
        <f t="shared" si="74"/>
        <v>4.5262016086644367E-2</v>
      </c>
      <c r="AC160" s="79">
        <f t="shared" si="75"/>
        <v>-1.6478963174767113E-2</v>
      </c>
      <c r="AD160" s="80">
        <f t="shared" si="76"/>
        <v>5.5615160764358448E-2</v>
      </c>
      <c r="AE160">
        <v>138.24</v>
      </c>
      <c r="AF160" s="79">
        <f t="shared" si="77"/>
        <v>-2.9803240740740772E-2</v>
      </c>
      <c r="AG160" s="79">
        <f t="shared" si="78"/>
        <v>-3.3341574074074107E-2</v>
      </c>
      <c r="AH160" s="79">
        <f t="shared" si="79"/>
        <v>-1.399256792440264E-2</v>
      </c>
      <c r="AI160" s="80">
        <f t="shared" si="80"/>
        <v>-2.3000361011278156E-2</v>
      </c>
      <c r="AJ160">
        <v>58.05</v>
      </c>
      <c r="AK160" s="79">
        <f t="shared" si="81"/>
        <v>-3.1352282515073222E-2</v>
      </c>
      <c r="AL160" s="79">
        <f t="shared" si="82"/>
        <v>-3.4890615848406553E-2</v>
      </c>
      <c r="AM160" s="79">
        <f t="shared" si="83"/>
        <v>-1.2057178382593806E-2</v>
      </c>
      <c r="AN160" s="80">
        <f t="shared" si="84"/>
        <v>-2.3951843873066349E-2</v>
      </c>
      <c r="AO160">
        <v>24.32</v>
      </c>
      <c r="AP160" s="79">
        <f t="shared" si="85"/>
        <v>-2.097039473684217E-2</v>
      </c>
      <c r="AQ160" s="79">
        <f t="shared" si="86"/>
        <v>-2.4508728070175505E-2</v>
      </c>
      <c r="AR160" s="79">
        <f t="shared" si="87"/>
        <v>-7.5620515413630171E-3</v>
      </c>
      <c r="AS160" s="80">
        <f t="shared" si="88"/>
        <v>-2.2166700911851748E-2</v>
      </c>
      <c r="AT160" s="178">
        <f t="shared" si="56"/>
        <v>43.926038930551798</v>
      </c>
      <c r="AU160" s="80">
        <f t="shared" si="89"/>
        <v>-4.7263563739616994E-3</v>
      </c>
      <c r="AV160">
        <v>53.04</v>
      </c>
      <c r="AW160" s="79">
        <f t="shared" si="90"/>
        <v>-1.8853695324283829E-3</v>
      </c>
      <c r="AX160" s="79">
        <f t="shared" si="91"/>
        <v>-5.4237028657617157E-3</v>
      </c>
      <c r="AZ160" s="307">
        <f t="shared" si="92"/>
        <v>-1.0972921386403572E-2</v>
      </c>
    </row>
    <row r="161" spans="2:52">
      <c r="B161" s="267">
        <v>42375</v>
      </c>
      <c r="C161">
        <v>35.86</v>
      </c>
      <c r="D161" s="79">
        <f t="shared" si="57"/>
        <v>4.0992749581706608E-2</v>
      </c>
      <c r="E161" s="79">
        <f t="shared" si="58"/>
        <v>3.7454416248373278E-2</v>
      </c>
      <c r="F161" s="258">
        <v>35.78</v>
      </c>
      <c r="G161" s="79">
        <f t="shared" si="59"/>
        <v>6.0368921185019464E-2</v>
      </c>
      <c r="H161" s="79">
        <f t="shared" si="60"/>
        <v>5.6830587851686133E-2</v>
      </c>
      <c r="I161" s="79">
        <f t="shared" si="61"/>
        <v>4.3500515751115354E-2</v>
      </c>
      <c r="J161" s="80">
        <f t="shared" si="62"/>
        <v>-2.9076738553791837E-4</v>
      </c>
      <c r="K161">
        <v>14.15</v>
      </c>
      <c r="L161" s="79">
        <f t="shared" si="63"/>
        <v>0.10600706713780919</v>
      </c>
      <c r="M161" s="79">
        <f t="shared" si="64"/>
        <v>0.10246873380447585</v>
      </c>
      <c r="N161" s="79">
        <f t="shared" si="65"/>
        <v>6.6889366603741909E-2</v>
      </c>
      <c r="O161" s="80">
        <f t="shared" si="66"/>
        <v>2.1958527714625239E-2</v>
      </c>
      <c r="P161">
        <v>143.82</v>
      </c>
      <c r="Q161" s="79">
        <f t="shared" si="67"/>
        <v>6.480322625504098E-2</v>
      </c>
      <c r="R161" s="79">
        <f t="shared" si="68"/>
        <v>6.1264892921707649E-2</v>
      </c>
      <c r="S161" s="79">
        <f t="shared" si="93"/>
        <v>2.7714152579915961E-2</v>
      </c>
      <c r="T161" s="80">
        <f t="shared" si="94"/>
        <v>2.3157535178387124E-2</v>
      </c>
      <c r="U161">
        <v>91.48</v>
      </c>
      <c r="V161" s="79">
        <f t="shared" si="69"/>
        <v>-2.5142107564495404E-3</v>
      </c>
      <c r="W161" s="79">
        <f t="shared" si="70"/>
        <v>-6.0525440897828738E-3</v>
      </c>
      <c r="X161" s="79">
        <f t="shared" si="71"/>
        <v>4.3020841175912143E-2</v>
      </c>
      <c r="Y161" s="80">
        <f t="shared" si="72"/>
        <v>-6.9769386637325292E-2</v>
      </c>
      <c r="Z161" s="269">
        <v>1248.4100000000001</v>
      </c>
      <c r="AA161" s="79">
        <f t="shared" si="73"/>
        <v>8.2024334954061445E-2</v>
      </c>
      <c r="AB161" s="79">
        <f t="shared" si="74"/>
        <v>7.8486001620728107E-2</v>
      </c>
      <c r="AC161" s="79">
        <f t="shared" si="75"/>
        <v>3.7642501078100597E-2</v>
      </c>
      <c r="AD161" s="80">
        <f t="shared" si="76"/>
        <v>3.4717682045574481E-2</v>
      </c>
      <c r="AE161">
        <v>127.69</v>
      </c>
      <c r="AF161" s="79">
        <f t="shared" si="77"/>
        <v>8.2621975095935565E-2</v>
      </c>
      <c r="AG161" s="79">
        <f t="shared" si="78"/>
        <v>7.9083641762602228E-2</v>
      </c>
      <c r="AH161" s="79">
        <f t="shared" si="79"/>
        <v>3.1962887931337704E-2</v>
      </c>
      <c r="AI161" s="80">
        <f t="shared" si="80"/>
        <v>4.3469398969657826E-2</v>
      </c>
      <c r="AJ161">
        <v>57.12</v>
      </c>
      <c r="AK161" s="79">
        <f t="shared" si="81"/>
        <v>1.6281512605042011E-2</v>
      </c>
      <c r="AL161" s="79">
        <f t="shared" si="82"/>
        <v>1.2743179271708678E-2</v>
      </c>
      <c r="AM161" s="79">
        <f t="shared" si="83"/>
        <v>2.7541923933697528E-2</v>
      </c>
      <c r="AN161" s="80">
        <f t="shared" si="84"/>
        <v>-1.5917151069242449E-2</v>
      </c>
      <c r="AO161">
        <v>24.34</v>
      </c>
      <c r="AP161" s="79">
        <f t="shared" si="85"/>
        <v>-8.2169268693506878E-4</v>
      </c>
      <c r="AQ161" s="79">
        <f t="shared" si="86"/>
        <v>-4.3600260202684019E-3</v>
      </c>
      <c r="AR161" s="79">
        <f t="shared" si="87"/>
        <v>1.7273813302421712E-2</v>
      </c>
      <c r="AS161" s="80">
        <f t="shared" si="88"/>
        <v>-2.6853863705729376E-2</v>
      </c>
      <c r="AT161" s="178">
        <f t="shared" si="56"/>
        <v>44.134634943730568</v>
      </c>
      <c r="AU161" s="80">
        <f t="shared" si="89"/>
        <v>4.9665229967997805E-2</v>
      </c>
      <c r="AV161">
        <v>53.04</v>
      </c>
      <c r="AW161" s="79">
        <f t="shared" si="90"/>
        <v>0</v>
      </c>
      <c r="AX161" s="79">
        <f t="shared" si="91"/>
        <v>-3.538333333333333E-3</v>
      </c>
      <c r="AZ161" s="307">
        <f t="shared" si="92"/>
        <v>4.0992749581706608E-2</v>
      </c>
    </row>
    <row r="162" spans="2:52">
      <c r="B162" s="267">
        <v>42374</v>
      </c>
      <c r="C162">
        <v>36.21</v>
      </c>
      <c r="D162" s="79">
        <f t="shared" si="57"/>
        <v>-9.6658381662524558E-3</v>
      </c>
      <c r="E162" s="79">
        <f t="shared" si="58"/>
        <v>-1.3204171499585788E-2</v>
      </c>
      <c r="F162" s="258">
        <v>36.14</v>
      </c>
      <c r="G162" s="79">
        <f t="shared" si="59"/>
        <v>-9.9612617598228946E-3</v>
      </c>
      <c r="H162" s="79">
        <f t="shared" si="60"/>
        <v>-1.3499595093156227E-2</v>
      </c>
      <c r="I162" s="79">
        <f t="shared" si="61"/>
        <v>-1.5335662061562817E-2</v>
      </c>
      <c r="J162" s="80">
        <f t="shared" si="62"/>
        <v>-1.1784772517702109E-2</v>
      </c>
      <c r="K162">
        <v>14.88</v>
      </c>
      <c r="L162" s="79">
        <f t="shared" si="63"/>
        <v>-4.9059139784946262E-2</v>
      </c>
      <c r="M162" s="79">
        <f t="shared" si="64"/>
        <v>-5.2597473118279593E-2</v>
      </c>
      <c r="N162" s="79">
        <f t="shared" si="65"/>
        <v>-2.3581162292786617E-2</v>
      </c>
      <c r="O162" s="80">
        <f t="shared" si="66"/>
        <v>-4.2637150311601674E-2</v>
      </c>
      <c r="P162">
        <v>136.24</v>
      </c>
      <c r="Q162" s="79">
        <f t="shared" si="67"/>
        <v>5.5637110980622309E-2</v>
      </c>
      <c r="R162" s="79">
        <f t="shared" si="68"/>
        <v>5.2098777647288978E-2</v>
      </c>
      <c r="S162" s="79">
        <f t="shared" si="93"/>
        <v>-9.770341131582632E-3</v>
      </c>
      <c r="T162" s="80">
        <f t="shared" si="94"/>
        <v>5.147591361546705E-2</v>
      </c>
      <c r="U162">
        <v>102.57</v>
      </c>
      <c r="V162" s="79">
        <f t="shared" si="69"/>
        <v>-0.1081212830262259</v>
      </c>
      <c r="W162" s="79">
        <f t="shared" si="70"/>
        <v>-0.11165961635955923</v>
      </c>
      <c r="X162" s="79">
        <f t="shared" si="71"/>
        <v>-1.5166557694457664E-2</v>
      </c>
      <c r="Y162" s="80">
        <f t="shared" si="72"/>
        <v>-0.11718906003673184</v>
      </c>
      <c r="Z162" s="269">
        <v>1264.33</v>
      </c>
      <c r="AA162" s="79">
        <f t="shared" si="73"/>
        <v>-1.2591649332057173E-2</v>
      </c>
      <c r="AB162" s="79">
        <f t="shared" si="74"/>
        <v>-1.6129982665390508E-2</v>
      </c>
      <c r="AC162" s="79">
        <f t="shared" si="75"/>
        <v>-1.3270478883252401E-2</v>
      </c>
      <c r="AD162" s="80">
        <f t="shared" si="76"/>
        <v>-8.9853222791911394E-3</v>
      </c>
      <c r="AE162">
        <v>132.12</v>
      </c>
      <c r="AF162" s="79">
        <f t="shared" si="77"/>
        <v>-3.3530124129579224E-2</v>
      </c>
      <c r="AG162" s="79">
        <f t="shared" si="78"/>
        <v>-3.7068457462912555E-2</v>
      </c>
      <c r="AH162" s="79">
        <f t="shared" si="79"/>
        <v>-1.1268189338974256E-2</v>
      </c>
      <c r="AI162" s="80">
        <f t="shared" si="80"/>
        <v>-2.945162298554499E-2</v>
      </c>
      <c r="AJ162">
        <v>54.89</v>
      </c>
      <c r="AK162" s="79">
        <f t="shared" si="81"/>
        <v>4.062670796137724E-2</v>
      </c>
      <c r="AL162" s="79">
        <f t="shared" si="82"/>
        <v>3.7088374628043909E-2</v>
      </c>
      <c r="AM162" s="79">
        <f t="shared" si="83"/>
        <v>-9.7096236832921803E-3</v>
      </c>
      <c r="AN162" s="80">
        <f t="shared" si="84"/>
        <v>4.5679591904082488E-2</v>
      </c>
      <c r="AO162">
        <v>23.59</v>
      </c>
      <c r="AP162" s="79">
        <f t="shared" si="85"/>
        <v>3.17931326833404E-2</v>
      </c>
      <c r="AQ162" s="79">
        <f t="shared" si="86"/>
        <v>2.8254799350007066E-2</v>
      </c>
      <c r="AR162" s="79">
        <f t="shared" si="87"/>
        <v>-6.0897062654636592E-3</v>
      </c>
      <c r="AS162" s="80">
        <f t="shared" si="88"/>
        <v>2.9124481232431464E-2</v>
      </c>
      <c r="AT162" s="178">
        <f t="shared" si="56"/>
        <v>42.046391252834148</v>
      </c>
      <c r="AU162" s="80">
        <f t="shared" si="89"/>
        <v>-8.04063514148394E-3</v>
      </c>
      <c r="AV162">
        <v>52.75</v>
      </c>
      <c r="AW162" s="79">
        <f t="shared" si="90"/>
        <v>5.4976303317535386E-3</v>
      </c>
      <c r="AX162" s="79">
        <f t="shared" si="91"/>
        <v>1.9592969984202056E-3</v>
      </c>
      <c r="AZ162" s="307">
        <f t="shared" si="92"/>
        <v>-1.5163468498005993E-2</v>
      </c>
    </row>
    <row r="163" spans="2:52">
      <c r="B163" s="267">
        <v>42373</v>
      </c>
      <c r="C163">
        <v>36.08</v>
      </c>
      <c r="D163" s="79">
        <f t="shared" si="57"/>
        <v>3.6031042128603814E-3</v>
      </c>
      <c r="E163" s="79">
        <f t="shared" si="58"/>
        <v>6.4770879527048433E-5</v>
      </c>
      <c r="F163" s="258">
        <v>32.979999999999997</v>
      </c>
      <c r="G163" s="79">
        <f t="shared" si="59"/>
        <v>9.581564584596737E-2</v>
      </c>
      <c r="H163" s="79">
        <f t="shared" si="60"/>
        <v>9.2277312512634033E-2</v>
      </c>
      <c r="I163" s="79">
        <f t="shared" si="61"/>
        <v>7.5226553963508584E-5</v>
      </c>
      <c r="J163" s="80">
        <f t="shared" si="62"/>
        <v>7.8581246472561816E-2</v>
      </c>
      <c r="K163">
        <v>16.05</v>
      </c>
      <c r="L163" s="79">
        <f t="shared" si="63"/>
        <v>-7.2897196261682229E-2</v>
      </c>
      <c r="M163" s="79">
        <f t="shared" si="64"/>
        <v>-7.6435529595015567E-2</v>
      </c>
      <c r="N163" s="79">
        <f t="shared" si="65"/>
        <v>1.1567349167055067E-4</v>
      </c>
      <c r="O163" s="80">
        <f t="shared" si="66"/>
        <v>-9.0172042572794819E-2</v>
      </c>
      <c r="P163">
        <v>135.66</v>
      </c>
      <c r="Q163" s="79">
        <f t="shared" si="67"/>
        <v>4.2753943682737171E-3</v>
      </c>
      <c r="R163" s="79">
        <f t="shared" si="68"/>
        <v>7.3706103494038415E-4</v>
      </c>
      <c r="S163" s="79">
        <f t="shared" si="93"/>
        <v>4.7926792558833133E-5</v>
      </c>
      <c r="T163" s="80">
        <f t="shared" si="94"/>
        <v>-9.7040709210230083E-3</v>
      </c>
      <c r="U163">
        <v>90.03</v>
      </c>
      <c r="V163" s="79">
        <f t="shared" si="69"/>
        <v>0.13928690436521152</v>
      </c>
      <c r="W163" s="79">
        <f t="shared" si="70"/>
        <v>0.13574857103187818</v>
      </c>
      <c r="X163" s="79">
        <f t="shared" si="71"/>
        <v>7.4397040457900972E-5</v>
      </c>
      <c r="Y163" s="80">
        <f t="shared" si="72"/>
        <v>0.11497817261979</v>
      </c>
      <c r="Z163" s="269">
        <v>1343.66</v>
      </c>
      <c r="AA163" s="79">
        <f t="shared" si="73"/>
        <v>-5.9040233392376157E-2</v>
      </c>
      <c r="AB163" s="79">
        <f t="shared" si="74"/>
        <v>-6.2578566725709495E-2</v>
      </c>
      <c r="AC163" s="79">
        <f t="shared" si="75"/>
        <v>6.5096139431417192E-5</v>
      </c>
      <c r="AD163" s="80">
        <f t="shared" si="76"/>
        <v>-6.8769481362193935E-2</v>
      </c>
      <c r="AE163">
        <v>133.88999999999999</v>
      </c>
      <c r="AF163" s="79">
        <f t="shared" si="77"/>
        <v>-1.3219807304503563E-2</v>
      </c>
      <c r="AG163" s="79">
        <f t="shared" si="78"/>
        <v>-1.6758140637836896E-2</v>
      </c>
      <c r="AH163" s="79">
        <f t="shared" si="79"/>
        <v>5.5274239219444268E-5</v>
      </c>
      <c r="AI163" s="80">
        <f t="shared" si="80"/>
        <v>-2.0464769738663034E-2</v>
      </c>
      <c r="AJ163">
        <v>56.23</v>
      </c>
      <c r="AK163" s="79">
        <f t="shared" si="81"/>
        <v>-2.3830695358349571E-2</v>
      </c>
      <c r="AL163" s="79">
        <f t="shared" si="82"/>
        <v>-2.7369028691682906E-2</v>
      </c>
      <c r="AM163" s="79">
        <f t="shared" si="83"/>
        <v>4.7628953157963946E-5</v>
      </c>
      <c r="AN163" s="80">
        <f t="shared" si="84"/>
        <v>-2.8535064052094467E-2</v>
      </c>
      <c r="AO163">
        <v>22.29</v>
      </c>
      <c r="AP163" s="79">
        <f t="shared" si="85"/>
        <v>5.8322117541498464E-2</v>
      </c>
      <c r="AQ163" s="79">
        <f t="shared" si="86"/>
        <v>5.4783784208165133E-2</v>
      </c>
      <c r="AR163" s="79">
        <f t="shared" si="87"/>
        <v>2.9872046942728064E-5</v>
      </c>
      <c r="AS163" s="80">
        <f t="shared" si="88"/>
        <v>4.9533887778183142E-2</v>
      </c>
      <c r="AT163" s="178">
        <f t="shared" si="56"/>
        <v>42.387211353996598</v>
      </c>
      <c r="AU163" s="80">
        <f t="shared" si="89"/>
        <v>2.9560055471930632E-2</v>
      </c>
      <c r="AV163">
        <v>52.81</v>
      </c>
      <c r="AW163" s="79">
        <f t="shared" si="90"/>
        <v>-1.1361484567317226E-3</v>
      </c>
      <c r="AX163" s="79">
        <f t="shared" si="91"/>
        <v>-4.6744817900650553E-3</v>
      </c>
      <c r="AZ163" s="307">
        <f t="shared" si="92"/>
        <v>4.7392526695921033E-3</v>
      </c>
    </row>
    <row r="164" spans="2:52">
      <c r="B164" s="267">
        <v>42372</v>
      </c>
      <c r="C164">
        <v>36.450000000000003</v>
      </c>
      <c r="D164" s="79">
        <f t="shared" si="57"/>
        <v>-1.0150891632373238E-2</v>
      </c>
      <c r="E164" s="79">
        <f t="shared" si="58"/>
        <v>-1.368922496570657E-2</v>
      </c>
      <c r="F164" s="258">
        <v>29.68</v>
      </c>
      <c r="G164" s="79">
        <f t="shared" si="59"/>
        <v>0.11118598382749317</v>
      </c>
      <c r="H164" s="79">
        <f t="shared" si="60"/>
        <v>0.10764765049415984</v>
      </c>
      <c r="I164" s="79">
        <f t="shared" si="61"/>
        <v>-1.5899015547122388E-2</v>
      </c>
      <c r="J164" s="80">
        <f t="shared" si="62"/>
        <v>0.10992582655517352</v>
      </c>
      <c r="K164">
        <v>15.32</v>
      </c>
      <c r="L164" s="79">
        <f t="shared" si="63"/>
        <v>4.7650130548302902E-2</v>
      </c>
      <c r="M164" s="79">
        <f t="shared" si="64"/>
        <v>4.4111797214969571E-2</v>
      </c>
      <c r="N164" s="79">
        <f t="shared" si="65"/>
        <v>-2.4447413121597168E-2</v>
      </c>
      <c r="O164" s="80">
        <f t="shared" si="66"/>
        <v>5.4938370850458038E-2</v>
      </c>
      <c r="P164">
        <v>144.31</v>
      </c>
      <c r="Q164" s="79">
        <f t="shared" si="67"/>
        <v>-5.9940406070265441E-2</v>
      </c>
      <c r="R164" s="79">
        <f t="shared" si="68"/>
        <v>-6.3478739403598772E-2</v>
      </c>
      <c r="S164" s="79">
        <f t="shared" si="93"/>
        <v>-1.0129253300453299E-2</v>
      </c>
      <c r="T164" s="80">
        <f t="shared" si="94"/>
        <v>-6.3742691266550022E-2</v>
      </c>
      <c r="U164">
        <v>102.23</v>
      </c>
      <c r="V164" s="79">
        <f t="shared" si="69"/>
        <v>-0.11933874596498095</v>
      </c>
      <c r="W164" s="79">
        <f t="shared" si="70"/>
        <v>-0.12287707929831429</v>
      </c>
      <c r="X164" s="79">
        <f t="shared" si="71"/>
        <v>-1.5723699153809979E-2</v>
      </c>
      <c r="Y164" s="80">
        <f t="shared" si="72"/>
        <v>-0.12784938151613459</v>
      </c>
      <c r="Z164" s="269">
        <v>1288.96</v>
      </c>
      <c r="AA164" s="79">
        <f t="shared" si="73"/>
        <v>4.2437313803376397E-2</v>
      </c>
      <c r="AB164" s="79">
        <f t="shared" si="74"/>
        <v>3.8898980470043067E-2</v>
      </c>
      <c r="AC164" s="79">
        <f t="shared" si="75"/>
        <v>-1.37579681422041E-2</v>
      </c>
      <c r="AD164" s="80">
        <f t="shared" si="76"/>
        <v>4.6531130115194136E-2</v>
      </c>
      <c r="AE164">
        <v>133.43</v>
      </c>
      <c r="AF164" s="79">
        <f t="shared" si="77"/>
        <v>3.4475005620923293E-3</v>
      </c>
      <c r="AG164" s="79">
        <f t="shared" si="78"/>
        <v>-9.0832771241003678E-5</v>
      </c>
      <c r="AH164" s="79">
        <f t="shared" si="79"/>
        <v>-1.1682124760514801E-2</v>
      </c>
      <c r="AI164" s="80">
        <f t="shared" si="80"/>
        <v>7.9399371276671037E-3</v>
      </c>
      <c r="AJ164">
        <v>59.7</v>
      </c>
      <c r="AK164" s="79">
        <f t="shared" si="81"/>
        <v>-5.812395309882757E-2</v>
      </c>
      <c r="AL164" s="79">
        <f t="shared" si="82"/>
        <v>-6.1662286432160901E-2</v>
      </c>
      <c r="AM164" s="79">
        <f t="shared" si="83"/>
        <v>-1.0066305404856995E-2</v>
      </c>
      <c r="AN164" s="80">
        <f t="shared" si="84"/>
        <v>-5.2714387434557503E-2</v>
      </c>
      <c r="AO164">
        <v>22.83</v>
      </c>
      <c r="AP164" s="79">
        <f t="shared" si="85"/>
        <v>-2.3653088042049897E-2</v>
      </c>
      <c r="AQ164" s="79">
        <f t="shared" si="86"/>
        <v>-2.7191421375383232E-2</v>
      </c>
      <c r="AR164" s="79">
        <f t="shared" si="87"/>
        <v>-6.3134108070029178E-3</v>
      </c>
      <c r="AS164" s="80">
        <f t="shared" si="88"/>
        <v>-2.6098034951419578E-2</v>
      </c>
      <c r="AT164" s="178">
        <f t="shared" si="56"/>
        <v>41.170217442601839</v>
      </c>
      <c r="AU164" s="80">
        <f t="shared" si="89"/>
        <v>-8.4594688821890054E-4</v>
      </c>
      <c r="AV164">
        <v>52.71</v>
      </c>
      <c r="AW164" s="79">
        <f t="shared" si="90"/>
        <v>1.8971732119142748E-3</v>
      </c>
      <c r="AX164" s="79">
        <f t="shared" si="91"/>
        <v>-1.6411601214190582E-3</v>
      </c>
      <c r="AZ164" s="307">
        <f t="shared" si="92"/>
        <v>-1.2048064844287512E-2</v>
      </c>
    </row>
    <row r="165" spans="2:52">
      <c r="B165" s="267">
        <v>42371</v>
      </c>
      <c r="C165">
        <v>34.54</v>
      </c>
      <c r="D165" s="79">
        <f t="shared" si="57"/>
        <v>5.5298204979733749E-2</v>
      </c>
      <c r="E165" s="79">
        <f t="shared" si="58"/>
        <v>5.1759871646400418E-2</v>
      </c>
      <c r="F165" s="258">
        <v>27.63</v>
      </c>
      <c r="G165" s="79">
        <f t="shared" si="59"/>
        <v>7.4194715888526996E-2</v>
      </c>
      <c r="H165" s="79">
        <f t="shared" si="60"/>
        <v>7.0656382555193659E-2</v>
      </c>
      <c r="I165" s="79">
        <f t="shared" si="61"/>
        <v>6.0115237063072396E-2</v>
      </c>
      <c r="J165" s="80">
        <f t="shared" si="62"/>
        <v>-3.0796939939874354E-3</v>
      </c>
      <c r="K165">
        <v>12.8</v>
      </c>
      <c r="L165" s="79">
        <f t="shared" si="63"/>
        <v>0.19687499999999997</v>
      </c>
      <c r="M165" s="79">
        <f t="shared" si="64"/>
        <v>0.19333666666666663</v>
      </c>
      <c r="N165" s="79">
        <f t="shared" si="65"/>
        <v>9.2437297833178042E-2</v>
      </c>
      <c r="O165" s="80">
        <f t="shared" si="66"/>
        <v>8.7278529347379882E-2</v>
      </c>
      <c r="P165">
        <v>137.4</v>
      </c>
      <c r="Q165" s="79">
        <f t="shared" si="67"/>
        <v>5.0291120815138257E-2</v>
      </c>
      <c r="R165" s="79">
        <f t="shared" si="68"/>
        <v>4.6752787481804926E-2</v>
      </c>
      <c r="S165" s="79">
        <f t="shared" si="93"/>
        <v>3.8299381595288104E-2</v>
      </c>
      <c r="T165" s="80">
        <f t="shared" si="94"/>
        <v>-1.9397992768877409E-3</v>
      </c>
      <c r="U165">
        <v>93.41</v>
      </c>
      <c r="V165" s="79">
        <f t="shared" si="69"/>
        <v>9.4422438711058862E-2</v>
      </c>
      <c r="W165" s="79">
        <f t="shared" si="70"/>
        <v>9.0884105377725524E-2</v>
      </c>
      <c r="X165" s="79">
        <f t="shared" si="71"/>
        <v>5.9452354099420866E-2</v>
      </c>
      <c r="Y165" s="80">
        <f t="shared" si="72"/>
        <v>1.0735749906674384E-2</v>
      </c>
      <c r="Z165" s="269">
        <v>1265.21</v>
      </c>
      <c r="AA165" s="79">
        <f t="shared" si="73"/>
        <v>1.8771587325424239E-2</v>
      </c>
      <c r="AB165" s="79">
        <f t="shared" si="74"/>
        <v>1.5233253992090906E-2</v>
      </c>
      <c r="AC165" s="79">
        <f t="shared" si="75"/>
        <v>5.2019794176784102E-2</v>
      </c>
      <c r="AD165" s="80">
        <f t="shared" si="76"/>
        <v>-4.2912358681746227E-2</v>
      </c>
      <c r="AE165">
        <v>124.12</v>
      </c>
      <c r="AF165" s="79">
        <f t="shared" si="77"/>
        <v>7.5008056719303912E-2</v>
      </c>
      <c r="AG165" s="79">
        <f t="shared" si="78"/>
        <v>7.1469723385970574E-2</v>
      </c>
      <c r="AH165" s="79">
        <f t="shared" si="79"/>
        <v>4.4170892046573401E-2</v>
      </c>
      <c r="AI165" s="80">
        <f t="shared" si="80"/>
        <v>2.3647476477790474E-2</v>
      </c>
      <c r="AJ165">
        <v>58.21</v>
      </c>
      <c r="AK165" s="79">
        <f t="shared" si="81"/>
        <v>2.559697646452503E-2</v>
      </c>
      <c r="AL165" s="79">
        <f t="shared" si="82"/>
        <v>2.2058643131191696E-2</v>
      </c>
      <c r="AM165" s="79">
        <f t="shared" si="83"/>
        <v>3.8061371408105261E-2</v>
      </c>
      <c r="AN165" s="80">
        <f t="shared" si="84"/>
        <v>-1.7121134684167164E-2</v>
      </c>
      <c r="AO165">
        <v>22.11</v>
      </c>
      <c r="AP165" s="79">
        <f t="shared" si="85"/>
        <v>3.2564450474898185E-2</v>
      </c>
      <c r="AQ165" s="79">
        <f t="shared" si="86"/>
        <v>2.9026117141564851E-2</v>
      </c>
      <c r="AR165" s="79">
        <f t="shared" si="87"/>
        <v>2.3871426895248009E-2</v>
      </c>
      <c r="AS165" s="80">
        <f t="shared" si="88"/>
        <v>-6.5334136722418334E-5</v>
      </c>
      <c r="AT165" s="178">
        <f t="shared" si="56"/>
        <v>41.205074747363199</v>
      </c>
      <c r="AU165" s="80">
        <f t="shared" si="89"/>
        <v>5.7174731525452355E-2</v>
      </c>
      <c r="AV165">
        <v>52.44</v>
      </c>
      <c r="AW165" s="79">
        <f t="shared" si="90"/>
        <v>5.1487414187643618E-3</v>
      </c>
      <c r="AX165" s="79">
        <f t="shared" si="91"/>
        <v>1.6104080854310288E-3</v>
      </c>
      <c r="AZ165" s="307">
        <f t="shared" si="92"/>
        <v>5.0149463560969387E-2</v>
      </c>
    </row>
    <row r="166" spans="2:52">
      <c r="B166" s="267">
        <v>42370</v>
      </c>
      <c r="C166">
        <v>34.24</v>
      </c>
      <c r="D166" s="79">
        <f t="shared" si="57"/>
        <v>8.7616822429905702E-3</v>
      </c>
      <c r="E166" s="79">
        <f t="shared" si="58"/>
        <v>5.2233489096572376E-3</v>
      </c>
      <c r="F166" s="258">
        <v>29.35</v>
      </c>
      <c r="G166" s="79">
        <f t="shared" si="59"/>
        <v>-5.860306643952308E-2</v>
      </c>
      <c r="H166" s="79">
        <f t="shared" si="60"/>
        <v>-6.2141399772856411E-2</v>
      </c>
      <c r="I166" s="79">
        <f t="shared" si="61"/>
        <v>6.0665308467592102E-3</v>
      </c>
      <c r="J166" s="80">
        <f t="shared" si="62"/>
        <v>-8.1828770105724313E-2</v>
      </c>
      <c r="K166">
        <v>12.75</v>
      </c>
      <c r="L166" s="79">
        <f t="shared" si="63"/>
        <v>3.9215686274510358E-3</v>
      </c>
      <c r="M166" s="79">
        <f t="shared" si="64"/>
        <v>3.8323529411770285E-4</v>
      </c>
      <c r="N166" s="79">
        <f t="shared" si="65"/>
        <v>9.3283125226252348E-3</v>
      </c>
      <c r="O166" s="80">
        <f t="shared" si="66"/>
        <v>-2.2565916714616233E-2</v>
      </c>
      <c r="P166">
        <v>138.4</v>
      </c>
      <c r="Q166" s="79">
        <f t="shared" si="67"/>
        <v>-7.2254335260115606E-3</v>
      </c>
      <c r="R166" s="79">
        <f t="shared" si="68"/>
        <v>-1.0763766859344893E-2</v>
      </c>
      <c r="S166" s="79">
        <f t="shared" si="93"/>
        <v>3.8649831758268455E-3</v>
      </c>
      <c r="T166" s="80">
        <f t="shared" si="94"/>
        <v>-2.5021955198576296E-2</v>
      </c>
      <c r="U166">
        <v>91.84</v>
      </c>
      <c r="V166" s="79">
        <f t="shared" si="69"/>
        <v>1.7094947735191563E-2</v>
      </c>
      <c r="W166" s="79">
        <f t="shared" si="70"/>
        <v>1.3556614401858231E-2</v>
      </c>
      <c r="X166" s="79">
        <f t="shared" si="71"/>
        <v>5.999635993752743E-3</v>
      </c>
      <c r="Y166" s="80">
        <f t="shared" si="72"/>
        <v>-1.313902296352479E-2</v>
      </c>
      <c r="Z166" s="269">
        <v>1064.97</v>
      </c>
      <c r="AA166" s="79">
        <f t="shared" si="73"/>
        <v>0.18802407579556232</v>
      </c>
      <c r="AB166" s="79">
        <f t="shared" si="74"/>
        <v>0.18448574246222899</v>
      </c>
      <c r="AC166" s="79">
        <f t="shared" si="75"/>
        <v>5.2495789991549458E-3</v>
      </c>
      <c r="AD166" s="80">
        <f t="shared" si="76"/>
        <v>0.17311034496602098</v>
      </c>
      <c r="AE166">
        <v>125.76</v>
      </c>
      <c r="AF166" s="79">
        <f t="shared" si="77"/>
        <v>-1.3040712468193388E-2</v>
      </c>
      <c r="AG166" s="79">
        <f t="shared" si="78"/>
        <v>-1.6579045801526721E-2</v>
      </c>
      <c r="AH166" s="79">
        <f t="shared" si="79"/>
        <v>4.4575068189161918E-3</v>
      </c>
      <c r="AI166" s="80">
        <f t="shared" si="80"/>
        <v>-2.4687907482049604E-2</v>
      </c>
      <c r="AJ166">
        <v>60.77</v>
      </c>
      <c r="AK166" s="79">
        <f t="shared" si="81"/>
        <v>-4.2126049037353994E-2</v>
      </c>
      <c r="AL166" s="79">
        <f t="shared" si="82"/>
        <v>-4.5664382370687324E-2</v>
      </c>
      <c r="AM166" s="79">
        <f t="shared" si="83"/>
        <v>3.840964371062378E-3</v>
      </c>
      <c r="AN166" s="80">
        <f t="shared" si="84"/>
        <v>-5.0623753149003303E-2</v>
      </c>
      <c r="AO166">
        <v>22.12</v>
      </c>
      <c r="AP166" s="79">
        <f t="shared" si="85"/>
        <v>-4.5207956600368731E-4</v>
      </c>
      <c r="AQ166" s="79">
        <f t="shared" si="86"/>
        <v>-3.9904128993370203E-3</v>
      </c>
      <c r="AR166" s="79">
        <f t="shared" si="87"/>
        <v>2.4089857196144628E-3</v>
      </c>
      <c r="AS166" s="80">
        <f t="shared" si="88"/>
        <v>-1.1619423001990743E-2</v>
      </c>
      <c r="AT166" s="178">
        <f t="shared" si="56"/>
        <v>38.97659820898884</v>
      </c>
      <c r="AU166" s="80">
        <f t="shared" si="89"/>
        <v>3.1418645963119216E-3</v>
      </c>
      <c r="AV166">
        <v>52.4</v>
      </c>
      <c r="AW166" s="79">
        <f t="shared" si="90"/>
        <v>7.6335877862593793E-4</v>
      </c>
      <c r="AX166" s="79">
        <f t="shared" si="91"/>
        <v>-2.774974554707395E-3</v>
      </c>
      <c r="AZ166" s="307">
        <f t="shared" si="92"/>
        <v>7.9983234643646317E-3</v>
      </c>
    </row>
    <row r="167" spans="2:52">
      <c r="B167" s="267">
        <v>42016</v>
      </c>
      <c r="C167">
        <v>36.159999999999997</v>
      </c>
      <c r="D167" s="79">
        <f t="shared" si="57"/>
        <v>-5.3097345132743216E-2</v>
      </c>
      <c r="E167" s="79">
        <f t="shared" si="58"/>
        <v>-5.6635678466076547E-2</v>
      </c>
      <c r="F167" s="258">
        <v>33.79</v>
      </c>
      <c r="G167" s="79">
        <f t="shared" si="59"/>
        <v>-0.13139982243267231</v>
      </c>
      <c r="H167" s="79">
        <f t="shared" si="60"/>
        <v>-0.13493815576600565</v>
      </c>
      <c r="I167" s="79">
        <f t="shared" si="61"/>
        <v>-6.5778123649054873E-2</v>
      </c>
      <c r="J167" s="80">
        <f t="shared" si="62"/>
        <v>-8.2780871603059483E-2</v>
      </c>
      <c r="K167">
        <v>16</v>
      </c>
      <c r="L167" s="79">
        <f t="shared" si="63"/>
        <v>-0.203125</v>
      </c>
      <c r="M167" s="79">
        <f t="shared" si="64"/>
        <v>-0.20666333333333334</v>
      </c>
      <c r="N167" s="79">
        <f t="shared" si="65"/>
        <v>-0.10114493934833599</v>
      </c>
      <c r="O167" s="80">
        <f t="shared" si="66"/>
        <v>-0.11913923347110605</v>
      </c>
      <c r="P167">
        <v>147.9</v>
      </c>
      <c r="Q167" s="79">
        <f t="shared" si="67"/>
        <v>-6.4232589587559161E-2</v>
      </c>
      <c r="R167" s="79">
        <f t="shared" si="68"/>
        <v>-6.7770922920892498E-2</v>
      </c>
      <c r="S167" s="79">
        <f t="shared" si="93"/>
        <v>-4.1907203253877374E-2</v>
      </c>
      <c r="T167" s="80">
        <f t="shared" si="94"/>
        <v>-3.625692483041968E-2</v>
      </c>
      <c r="U167">
        <v>114.38</v>
      </c>
      <c r="V167" s="79">
        <f t="shared" si="69"/>
        <v>-0.19706242350061193</v>
      </c>
      <c r="W167" s="79">
        <f t="shared" si="70"/>
        <v>-0.20060075683394527</v>
      </c>
      <c r="X167" s="79">
        <f t="shared" si="71"/>
        <v>-6.5052796765586479E-2</v>
      </c>
      <c r="Y167" s="80">
        <f t="shared" si="72"/>
        <v>-0.15624396143998906</v>
      </c>
      <c r="Z167" s="269">
        <v>1274.95</v>
      </c>
      <c r="AA167" s="79">
        <f t="shared" si="73"/>
        <v>-0.16469665477077533</v>
      </c>
      <c r="AB167" s="79">
        <f t="shared" si="74"/>
        <v>-0.16823498810410867</v>
      </c>
      <c r="AC167" s="79">
        <f t="shared" si="75"/>
        <v>-5.6920085833959258E-2</v>
      </c>
      <c r="AD167" s="80">
        <f t="shared" si="76"/>
        <v>-0.11744072076720245</v>
      </c>
      <c r="AE167">
        <v>132.25</v>
      </c>
      <c r="AF167" s="79">
        <f t="shared" si="77"/>
        <v>-4.9073724007561395E-2</v>
      </c>
      <c r="AG167" s="79">
        <f t="shared" si="78"/>
        <v>-5.2612057340894726E-2</v>
      </c>
      <c r="AH167" s="79">
        <f t="shared" si="79"/>
        <v>-4.8331813042343262E-2</v>
      </c>
      <c r="AI167" s="80">
        <f t="shared" si="80"/>
        <v>-7.9315991601581551E-3</v>
      </c>
      <c r="AJ167">
        <v>60.03</v>
      </c>
      <c r="AK167" s="79">
        <f t="shared" si="81"/>
        <v>1.2327169748459137E-2</v>
      </c>
      <c r="AL167" s="79">
        <f t="shared" si="82"/>
        <v>8.7888364151258048E-3</v>
      </c>
      <c r="AM167" s="79">
        <f t="shared" si="83"/>
        <v>-4.1646772383317529E-2</v>
      </c>
      <c r="AN167" s="80">
        <f t="shared" si="84"/>
        <v>4.9317202391189738E-2</v>
      </c>
      <c r="AO167">
        <v>20.43</v>
      </c>
      <c r="AP167" s="79">
        <f t="shared" si="85"/>
        <v>8.2721488007831689E-2</v>
      </c>
      <c r="AQ167" s="79">
        <f t="shared" si="86"/>
        <v>7.9183154674498352E-2</v>
      </c>
      <c r="AR167" s="79">
        <f t="shared" si="87"/>
        <v>-2.6120127719824818E-2</v>
      </c>
      <c r="AS167" s="80">
        <f t="shared" si="88"/>
        <v>0.10008325801128391</v>
      </c>
      <c r="AT167" s="178">
        <f t="shared" si="56"/>
        <v>38.8545225601505</v>
      </c>
      <c r="AU167" s="80">
        <f t="shared" si="89"/>
        <v>-8.7313783338913736E-2</v>
      </c>
      <c r="AV167">
        <v>52.3</v>
      </c>
      <c r="AW167" s="79">
        <f t="shared" si="90"/>
        <v>1.9120458891013657E-3</v>
      </c>
      <c r="AX167" s="79">
        <f t="shared" si="91"/>
        <v>-1.6262874442319673E-3</v>
      </c>
      <c r="AZ167" s="307">
        <f t="shared" si="92"/>
        <v>-5.5009391021844579E-2</v>
      </c>
    </row>
    <row r="168" spans="2:52">
      <c r="B168" s="267">
        <v>42015</v>
      </c>
      <c r="C168">
        <v>36.630000000000003</v>
      </c>
      <c r="D168" s="79">
        <f t="shared" si="57"/>
        <v>-1.2831012831012994E-2</v>
      </c>
      <c r="E168" s="79">
        <f t="shared" si="58"/>
        <v>-1.6369346164346328E-2</v>
      </c>
      <c r="F168" s="258">
        <v>33.24</v>
      </c>
      <c r="G168" s="79">
        <f t="shared" si="59"/>
        <v>1.6546329723224944E-2</v>
      </c>
      <c r="H168" s="79">
        <f t="shared" si="60"/>
        <v>1.3007996389891611E-2</v>
      </c>
      <c r="I168" s="79">
        <f t="shared" si="61"/>
        <v>-1.9011776767139815E-2</v>
      </c>
      <c r="J168" s="80">
        <f t="shared" si="62"/>
        <v>1.8398933670922726E-2</v>
      </c>
      <c r="K168">
        <v>15.35</v>
      </c>
      <c r="L168" s="79">
        <f t="shared" si="63"/>
        <v>4.2345276872964195E-2</v>
      </c>
      <c r="M168" s="79">
        <f t="shared" si="64"/>
        <v>3.8806943539630864E-2</v>
      </c>
      <c r="N168" s="79">
        <f t="shared" si="65"/>
        <v>-2.9233807553950952E-2</v>
      </c>
      <c r="O168" s="80">
        <f t="shared" si="66"/>
        <v>5.4419911607473115E-2</v>
      </c>
      <c r="P168">
        <v>147.83000000000001</v>
      </c>
      <c r="Q168" s="79">
        <f t="shared" si="67"/>
        <v>4.7351687749437306E-4</v>
      </c>
      <c r="R168" s="79">
        <f t="shared" si="68"/>
        <v>-3.06481645583896E-3</v>
      </c>
      <c r="S168" s="79">
        <f t="shared" si="93"/>
        <v>-1.2112391612881157E-2</v>
      </c>
      <c r="T168" s="80">
        <f t="shared" si="94"/>
        <v>-1.3456300063623625E-3</v>
      </c>
      <c r="U168">
        <v>123.33</v>
      </c>
      <c r="V168" s="79">
        <f t="shared" si="69"/>
        <v>-7.2569528906186676E-2</v>
      </c>
      <c r="W168" s="79">
        <f t="shared" si="70"/>
        <v>-7.6107862239520013E-2</v>
      </c>
      <c r="X168" s="79">
        <f t="shared" si="71"/>
        <v>-1.8802136357430371E-2</v>
      </c>
      <c r="Y168" s="80">
        <f t="shared" si="72"/>
        <v>-7.8001727253719913E-2</v>
      </c>
      <c r="Z168" s="269">
        <v>1248.8499999999999</v>
      </c>
      <c r="AA168" s="79">
        <f t="shared" si="73"/>
        <v>2.0899227289106089E-2</v>
      </c>
      <c r="AB168" s="79">
        <f t="shared" si="74"/>
        <v>1.7360893955772755E-2</v>
      </c>
      <c r="AC168" s="79">
        <f t="shared" si="75"/>
        <v>-1.6451548104583543E-2</v>
      </c>
      <c r="AD168" s="80">
        <f t="shared" si="76"/>
        <v>2.7686623563303266E-2</v>
      </c>
      <c r="AE168">
        <v>133.88</v>
      </c>
      <c r="AF168" s="79">
        <f t="shared" si="77"/>
        <v>-1.2175082163131129E-2</v>
      </c>
      <c r="AG168" s="79">
        <f t="shared" si="78"/>
        <v>-1.5713415496464461E-2</v>
      </c>
      <c r="AH168" s="79">
        <f t="shared" si="79"/>
        <v>-1.3969289322003479E-2</v>
      </c>
      <c r="AI168" s="80">
        <f t="shared" si="80"/>
        <v>-5.3954810360676737E-3</v>
      </c>
      <c r="AJ168">
        <v>61.39</v>
      </c>
      <c r="AK168" s="79">
        <f t="shared" si="81"/>
        <v>-2.2153445186512452E-2</v>
      </c>
      <c r="AL168" s="79">
        <f t="shared" si="82"/>
        <v>-2.5691778519845786E-2</v>
      </c>
      <c r="AM168" s="79">
        <f t="shared" si="83"/>
        <v>-1.2037119572578334E-2</v>
      </c>
      <c r="AN168" s="80">
        <f t="shared" si="84"/>
        <v>-1.477306535452105E-2</v>
      </c>
      <c r="AO168">
        <v>19.61</v>
      </c>
      <c r="AP168" s="79">
        <f t="shared" si="85"/>
        <v>4.1815400305966359E-2</v>
      </c>
      <c r="AQ168" s="79">
        <f t="shared" si="86"/>
        <v>3.8277066972633028E-2</v>
      </c>
      <c r="AR168" s="79">
        <f t="shared" si="87"/>
        <v>-7.5494710063172404E-3</v>
      </c>
      <c r="AS168" s="80">
        <f t="shared" si="88"/>
        <v>4.0606513595911005E-2</v>
      </c>
      <c r="AT168" s="178">
        <f t="shared" si="56"/>
        <v>42.571610977421614</v>
      </c>
      <c r="AU168" s="80">
        <f t="shared" si="89"/>
        <v>-3.9726523230829407E-4</v>
      </c>
      <c r="AV168">
        <v>52.53</v>
      </c>
      <c r="AW168" s="79">
        <f t="shared" si="90"/>
        <v>-4.3784504092900054E-3</v>
      </c>
      <c r="AX168" s="79">
        <f t="shared" si="91"/>
        <v>-7.916783742623338E-3</v>
      </c>
      <c r="AZ168" s="307">
        <f t="shared" si="92"/>
        <v>-8.4525624217229901E-3</v>
      </c>
    </row>
    <row r="169" spans="2:52">
      <c r="B169" s="267">
        <v>42014</v>
      </c>
      <c r="C169">
        <v>36.97</v>
      </c>
      <c r="D169" s="79">
        <f t="shared" si="57"/>
        <v>-9.1966459291316291E-3</v>
      </c>
      <c r="E169" s="79">
        <f t="shared" si="58"/>
        <v>-1.2734979262464962E-2</v>
      </c>
      <c r="F169" s="258">
        <v>31.3</v>
      </c>
      <c r="G169" s="79">
        <f t="shared" si="59"/>
        <v>6.1980830670926558E-2</v>
      </c>
      <c r="H169" s="79">
        <f t="shared" si="60"/>
        <v>5.8442497337593227E-2</v>
      </c>
      <c r="I169" s="79">
        <f t="shared" si="61"/>
        <v>-1.4790730212516524E-2</v>
      </c>
      <c r="J169" s="80">
        <f t="shared" si="62"/>
        <v>5.9612388064001057E-2</v>
      </c>
      <c r="K169">
        <v>13.8</v>
      </c>
      <c r="L169" s="79">
        <f t="shared" si="63"/>
        <v>0.11231884057971006</v>
      </c>
      <c r="M169" s="79">
        <f t="shared" si="64"/>
        <v>0.10878050724637672</v>
      </c>
      <c r="N169" s="79">
        <f t="shared" si="65"/>
        <v>-2.2743237831535191E-2</v>
      </c>
      <c r="O169" s="80">
        <f t="shared" si="66"/>
        <v>0.11790290559180321</v>
      </c>
      <c r="P169">
        <v>144.80000000000001</v>
      </c>
      <c r="Q169" s="79">
        <f t="shared" si="67"/>
        <v>2.092541436464089E-2</v>
      </c>
      <c r="R169" s="79">
        <f t="shared" si="68"/>
        <v>1.7387081031307556E-2</v>
      </c>
      <c r="S169" s="79">
        <f t="shared" si="93"/>
        <v>-9.4231653763219032E-3</v>
      </c>
      <c r="T169" s="80">
        <f t="shared" si="94"/>
        <v>1.6417041244224898E-2</v>
      </c>
      <c r="U169">
        <v>108.38</v>
      </c>
      <c r="V169" s="79">
        <f t="shared" si="69"/>
        <v>0.13794057944270163</v>
      </c>
      <c r="W169" s="79">
        <f t="shared" si="70"/>
        <v>0.1344022461093683</v>
      </c>
      <c r="X169" s="79">
        <f t="shared" si="71"/>
        <v>-1.4627634738609362E-2</v>
      </c>
      <c r="Y169" s="80">
        <f t="shared" si="72"/>
        <v>0.12833387947634739</v>
      </c>
      <c r="Z169" s="269">
        <v>1454.24</v>
      </c>
      <c r="AA169" s="79">
        <f t="shared" si="73"/>
        <v>-0.1412352844097261</v>
      </c>
      <c r="AB169" s="79">
        <f t="shared" si="74"/>
        <v>-0.14477361774305944</v>
      </c>
      <c r="AC169" s="79">
        <f t="shared" si="75"/>
        <v>-1.2798930503629097E-2</v>
      </c>
      <c r="AD169" s="80">
        <f t="shared" si="76"/>
        <v>-0.13810050573648339</v>
      </c>
      <c r="AE169">
        <v>123.64</v>
      </c>
      <c r="AF169" s="79">
        <f t="shared" si="77"/>
        <v>8.2821093497250045E-2</v>
      </c>
      <c r="AG169" s="79">
        <f t="shared" si="78"/>
        <v>7.9282760163916707E-2</v>
      </c>
      <c r="AH169" s="79">
        <f t="shared" si="79"/>
        <v>-1.0867789589211824E-2</v>
      </c>
      <c r="AI169" s="80">
        <f t="shared" si="80"/>
        <v>8.649919489152183E-2</v>
      </c>
      <c r="AJ169">
        <v>62.57</v>
      </c>
      <c r="AK169" s="79">
        <f t="shared" si="81"/>
        <v>-1.8858878056576628E-2</v>
      </c>
      <c r="AL169" s="79">
        <f t="shared" si="82"/>
        <v>-2.2397211389909962E-2</v>
      </c>
      <c r="AM169" s="79">
        <f t="shared" si="83"/>
        <v>-9.3646054397993478E-3</v>
      </c>
      <c r="AN169" s="80">
        <f t="shared" si="84"/>
        <v>-1.4151012357364212E-2</v>
      </c>
      <c r="AO169">
        <v>19.079999999999998</v>
      </c>
      <c r="AP169" s="79">
        <f t="shared" si="85"/>
        <v>2.7777777777777839E-2</v>
      </c>
      <c r="AQ169" s="79">
        <f t="shared" si="86"/>
        <v>2.4239444444444504E-2</v>
      </c>
      <c r="AR169" s="79">
        <f t="shared" si="87"/>
        <v>-5.8733168535121975E-3</v>
      </c>
      <c r="AS169" s="80">
        <f t="shared" si="88"/>
        <v>2.4892736914917443E-2</v>
      </c>
      <c r="AT169" s="178">
        <f t="shared" si="56"/>
        <v>42.588529919653816</v>
      </c>
      <c r="AU169" s="80">
        <f t="shared" si="89"/>
        <v>3.1515432591786179E-2</v>
      </c>
      <c r="AV169">
        <v>52.63</v>
      </c>
      <c r="AW169" s="79">
        <f t="shared" si="90"/>
        <v>-1.9000570017100782E-3</v>
      </c>
      <c r="AX169" s="79">
        <f t="shared" si="91"/>
        <v>-5.438390335043411E-3</v>
      </c>
      <c r="AZ169" s="307">
        <f t="shared" si="92"/>
        <v>-7.2965889274215507E-3</v>
      </c>
    </row>
    <row r="170" spans="2:52">
      <c r="B170" s="267">
        <v>42013</v>
      </c>
      <c r="C170">
        <v>34.4</v>
      </c>
      <c r="D170" s="79">
        <f t="shared" si="57"/>
        <v>7.47093023255814E-2</v>
      </c>
      <c r="E170" s="79">
        <f t="shared" si="58"/>
        <v>7.1170968992248063E-2</v>
      </c>
      <c r="F170" s="258">
        <v>25.59</v>
      </c>
      <c r="G170" s="79">
        <f t="shared" si="59"/>
        <v>0.22313403673309889</v>
      </c>
      <c r="H170" s="79">
        <f t="shared" si="60"/>
        <v>0.21959570339976556</v>
      </c>
      <c r="I170" s="79">
        <f t="shared" si="61"/>
        <v>8.2659781349653086E-2</v>
      </c>
      <c r="J170" s="80">
        <f t="shared" si="62"/>
        <v>0.12331508256400377</v>
      </c>
      <c r="K170">
        <v>16.559999999999999</v>
      </c>
      <c r="L170" s="79">
        <f t="shared" si="63"/>
        <v>-0.16666666666666655</v>
      </c>
      <c r="M170" s="79">
        <f t="shared" si="64"/>
        <v>-0.17020499999999988</v>
      </c>
      <c r="N170" s="79">
        <f t="shared" si="65"/>
        <v>0.12710333021604067</v>
      </c>
      <c r="O170" s="80">
        <f t="shared" si="66"/>
        <v>-0.31092916970214923</v>
      </c>
      <c r="P170">
        <v>132.4</v>
      </c>
      <c r="Q170" s="79">
        <f t="shared" si="67"/>
        <v>9.3655589123867108E-2</v>
      </c>
      <c r="R170" s="79">
        <f t="shared" si="68"/>
        <v>9.0117255790533771E-2</v>
      </c>
      <c r="S170" s="79">
        <f t="shared" si="93"/>
        <v>5.2662497282875094E-2</v>
      </c>
      <c r="T170" s="80">
        <f t="shared" si="94"/>
        <v>2.706155334425412E-2</v>
      </c>
      <c r="U170">
        <v>103.26</v>
      </c>
      <c r="V170" s="79">
        <f t="shared" si="69"/>
        <v>4.9583575440635193E-2</v>
      </c>
      <c r="W170" s="79">
        <f t="shared" si="70"/>
        <v>4.6045242107301862E-2</v>
      </c>
      <c r="X170" s="79">
        <f t="shared" si="71"/>
        <v>8.1748302604616185E-2</v>
      </c>
      <c r="Y170" s="80">
        <f t="shared" si="72"/>
        <v>-5.6399061868944597E-2</v>
      </c>
      <c r="Z170" s="269">
        <v>1236.8599999999999</v>
      </c>
      <c r="AA170" s="79">
        <f t="shared" si="73"/>
        <v>0.17575149976553542</v>
      </c>
      <c r="AB170" s="79">
        <f t="shared" si="74"/>
        <v>0.17221316643220208</v>
      </c>
      <c r="AC170" s="79">
        <f t="shared" si="75"/>
        <v>7.1528368223774369E-2</v>
      </c>
      <c r="AD170" s="80">
        <f t="shared" si="76"/>
        <v>9.4558979711374669E-2</v>
      </c>
      <c r="AE170">
        <v>115.49</v>
      </c>
      <c r="AF170" s="79">
        <f t="shared" si="77"/>
        <v>7.0568880422547456E-2</v>
      </c>
      <c r="AG170" s="79">
        <f t="shared" si="78"/>
        <v>6.7030547089214118E-2</v>
      </c>
      <c r="AH170" s="79">
        <f t="shared" si="79"/>
        <v>6.0735954093604015E-2</v>
      </c>
      <c r="AI170" s="80">
        <f t="shared" si="80"/>
        <v>2.6432381340034047E-3</v>
      </c>
      <c r="AJ170">
        <v>56.84</v>
      </c>
      <c r="AK170" s="79">
        <f t="shared" si="81"/>
        <v>0.10080928923293449</v>
      </c>
      <c r="AL170" s="79">
        <f t="shared" si="82"/>
        <v>9.727095589960115E-2</v>
      </c>
      <c r="AM170" s="79">
        <f t="shared" si="83"/>
        <v>5.2335228008183854E-2</v>
      </c>
      <c r="AN170" s="80">
        <f t="shared" si="84"/>
        <v>4.3817321484163702E-2</v>
      </c>
      <c r="AO170">
        <v>21.61</v>
      </c>
      <c r="AP170" s="79">
        <f t="shared" si="85"/>
        <v>-0.11707542804257294</v>
      </c>
      <c r="AQ170" s="79">
        <f t="shared" si="86"/>
        <v>-0.12061376137590628</v>
      </c>
      <c r="AR170" s="79">
        <f t="shared" si="87"/>
        <v>3.2823740270626504E-2</v>
      </c>
      <c r="AS170" s="80">
        <f t="shared" si="88"/>
        <v>-0.15865752602957206</v>
      </c>
      <c r="AT170" s="178">
        <f t="shared" si="56"/>
        <v>41.287341491969592</v>
      </c>
      <c r="AU170" s="80">
        <f t="shared" si="89"/>
        <v>8.6754680295807796E-2</v>
      </c>
      <c r="AV170">
        <v>52.56</v>
      </c>
      <c r="AW170" s="79">
        <f t="shared" si="90"/>
        <v>1.331811263318118E-3</v>
      </c>
      <c r="AX170" s="79">
        <f t="shared" si="91"/>
        <v>-2.2065220700152148E-3</v>
      </c>
      <c r="AZ170" s="307">
        <f t="shared" si="92"/>
        <v>7.3377491062263281E-2</v>
      </c>
    </row>
    <row r="171" spans="2:52">
      <c r="B171" s="267">
        <v>42012</v>
      </c>
      <c r="C171">
        <v>35.01</v>
      </c>
      <c r="D171" s="79">
        <f t="shared" si="57"/>
        <v>-1.7423593259068823E-2</v>
      </c>
      <c r="E171" s="79">
        <f t="shared" si="58"/>
        <v>-2.0961926592402157E-2</v>
      </c>
      <c r="F171" s="258">
        <v>25.64</v>
      </c>
      <c r="G171" s="79">
        <f t="shared" si="59"/>
        <v>-1.9500780031201524E-3</v>
      </c>
      <c r="H171" s="79">
        <f t="shared" si="60"/>
        <v>-5.4884113364534852E-3</v>
      </c>
      <c r="I171" s="79">
        <f t="shared" si="61"/>
        <v>-2.4345716987275633E-2</v>
      </c>
      <c r="J171" s="80">
        <f t="shared" si="62"/>
        <v>5.2364661647134464E-3</v>
      </c>
      <c r="K171">
        <v>16.600000000000001</v>
      </c>
      <c r="L171" s="79">
        <f t="shared" si="63"/>
        <v>-2.4096385542170299E-3</v>
      </c>
      <c r="M171" s="79">
        <f t="shared" si="64"/>
        <v>-5.9479718875503629E-3</v>
      </c>
      <c r="N171" s="79">
        <f t="shared" si="65"/>
        <v>-3.7435638651044566E-2</v>
      </c>
      <c r="O171" s="80">
        <f t="shared" si="66"/>
        <v>1.7866827277385505E-2</v>
      </c>
      <c r="P171">
        <v>128.26</v>
      </c>
      <c r="Q171" s="79">
        <f t="shared" si="67"/>
        <v>3.227818493684715E-2</v>
      </c>
      <c r="R171" s="79">
        <f t="shared" si="68"/>
        <v>2.8739851603513816E-2</v>
      </c>
      <c r="S171" s="79">
        <f t="shared" si="93"/>
        <v>-1.5510641738437527E-2</v>
      </c>
      <c r="T171" s="80">
        <f t="shared" si="94"/>
        <v>3.3857288178546781E-2</v>
      </c>
      <c r="U171">
        <v>115.03</v>
      </c>
      <c r="V171" s="79">
        <f t="shared" si="69"/>
        <v>-0.10232113361731719</v>
      </c>
      <c r="W171" s="79">
        <f t="shared" si="70"/>
        <v>-0.10585946695065053</v>
      </c>
      <c r="X171" s="79">
        <f t="shared" si="71"/>
        <v>-2.407725990688827E-2</v>
      </c>
      <c r="Y171" s="80">
        <f t="shared" si="72"/>
        <v>-0.10247820841539254</v>
      </c>
      <c r="Z171" s="269">
        <v>1248.6400000000001</v>
      </c>
      <c r="AA171" s="79">
        <f t="shared" si="73"/>
        <v>-9.4342644797541318E-3</v>
      </c>
      <c r="AB171" s="79">
        <f t="shared" si="74"/>
        <v>-1.2972597813087464E-2</v>
      </c>
      <c r="AC171" s="79">
        <f t="shared" si="75"/>
        <v>-2.1067191092260962E-2</v>
      </c>
      <c r="AD171" s="80">
        <f t="shared" si="76"/>
        <v>1.9687747821204651E-3</v>
      </c>
      <c r="AE171">
        <v>116.46</v>
      </c>
      <c r="AF171" s="79">
        <f t="shared" si="77"/>
        <v>-8.3290400137386138E-3</v>
      </c>
      <c r="AG171" s="79">
        <f t="shared" si="78"/>
        <v>-1.1867373347071946E-2</v>
      </c>
      <c r="AH171" s="79">
        <f t="shared" si="79"/>
        <v>-1.7888510290878651E-2</v>
      </c>
      <c r="AI171" s="80">
        <f t="shared" si="80"/>
        <v>2.3697820822000115E-3</v>
      </c>
      <c r="AJ171">
        <v>54.71</v>
      </c>
      <c r="AK171" s="79">
        <f t="shared" si="81"/>
        <v>3.893255346371783E-2</v>
      </c>
      <c r="AL171" s="79">
        <f t="shared" si="82"/>
        <v>3.5394220130384499E-2</v>
      </c>
      <c r="AM171" s="79">
        <f t="shared" si="83"/>
        <v>-1.54142513898282E-2</v>
      </c>
      <c r="AN171" s="80">
        <f t="shared" si="84"/>
        <v>4.9690065112959099E-2</v>
      </c>
      <c r="AO171">
        <v>21.58</v>
      </c>
      <c r="AP171" s="79">
        <f t="shared" si="85"/>
        <v>1.3901760889713224E-3</v>
      </c>
      <c r="AQ171" s="79">
        <f t="shared" si="86"/>
        <v>-2.1481572443620106E-3</v>
      </c>
      <c r="AR171" s="79">
        <f t="shared" si="87"/>
        <v>-9.6675490552319103E-3</v>
      </c>
      <c r="AS171" s="80">
        <f t="shared" si="88"/>
        <v>2.299367427830639E-3</v>
      </c>
      <c r="AT171" s="178">
        <f t="shared" si="56"/>
        <v>37.991408954163823</v>
      </c>
      <c r="AU171" s="80">
        <f t="shared" si="89"/>
        <v>-9.1569433306718778E-3</v>
      </c>
      <c r="AV171">
        <v>52.53</v>
      </c>
      <c r="AW171" s="79">
        <f t="shared" si="90"/>
        <v>5.7110222729870805E-4</v>
      </c>
      <c r="AX171" s="79">
        <f t="shared" si="91"/>
        <v>-2.967231106034625E-3</v>
      </c>
      <c r="AZ171" s="307">
        <f t="shared" si="92"/>
        <v>-1.7994695486367531E-2</v>
      </c>
    </row>
    <row r="172" spans="2:52">
      <c r="B172" s="267">
        <v>42011</v>
      </c>
      <c r="C172">
        <v>37.6</v>
      </c>
      <c r="D172" s="79">
        <f t="shared" si="57"/>
        <v>-6.8882978723404348E-2</v>
      </c>
      <c r="E172" s="79">
        <f t="shared" si="58"/>
        <v>-7.2421312056737686E-2</v>
      </c>
      <c r="F172" s="258">
        <v>26.81</v>
      </c>
      <c r="G172" s="79">
        <f t="shared" si="59"/>
        <v>-4.3640432674375167E-2</v>
      </c>
      <c r="H172" s="79">
        <f t="shared" si="60"/>
        <v>-4.7178766007708497E-2</v>
      </c>
      <c r="I172" s="79">
        <f t="shared" si="61"/>
        <v>-8.4111961723002018E-2</v>
      </c>
      <c r="J172" s="80">
        <f t="shared" si="62"/>
        <v>2.3312356229184823E-2</v>
      </c>
      <c r="K172">
        <v>17.739999999999998</v>
      </c>
      <c r="L172" s="79">
        <f t="shared" si="63"/>
        <v>-6.4261555806087778E-2</v>
      </c>
      <c r="M172" s="79">
        <f t="shared" si="64"/>
        <v>-6.7799889139421116E-2</v>
      </c>
      <c r="N172" s="79">
        <f t="shared" si="65"/>
        <v>-0.12933630202546581</v>
      </c>
      <c r="O172" s="80">
        <f t="shared" si="66"/>
        <v>4.791557339993599E-2</v>
      </c>
      <c r="P172">
        <v>133.07</v>
      </c>
      <c r="Q172" s="79">
        <f t="shared" si="67"/>
        <v>-3.6146389118509072E-2</v>
      </c>
      <c r="R172" s="79">
        <f t="shared" si="68"/>
        <v>-3.9684722451842402E-2</v>
      </c>
      <c r="S172" s="79">
        <f t="shared" si="93"/>
        <v>-5.3587680530605197E-2</v>
      </c>
      <c r="T172" s="80">
        <f t="shared" si="94"/>
        <v>3.5097529153582385E-3</v>
      </c>
      <c r="U172">
        <v>114.31</v>
      </c>
      <c r="V172" s="79">
        <f t="shared" si="69"/>
        <v>6.2986615344239249E-3</v>
      </c>
      <c r="W172" s="79">
        <f t="shared" si="70"/>
        <v>2.7603282010905919E-3</v>
      </c>
      <c r="X172" s="79">
        <f t="shared" si="71"/>
        <v>-8.3184469972333405E-2</v>
      </c>
      <c r="Y172" s="80">
        <f t="shared" si="72"/>
        <v>6.5248796801793713E-2</v>
      </c>
      <c r="Z172" s="269">
        <v>1243.57</v>
      </c>
      <c r="AA172" s="79">
        <f t="shared" si="73"/>
        <v>4.0769719436784127E-3</v>
      </c>
      <c r="AB172" s="79">
        <f t="shared" si="74"/>
        <v>5.3863861034507974E-4</v>
      </c>
      <c r="AC172" s="79">
        <f t="shared" si="75"/>
        <v>-7.278499013561876E-2</v>
      </c>
      <c r="AD172" s="80">
        <f t="shared" si="76"/>
        <v>6.7197810248910805E-2</v>
      </c>
      <c r="AE172">
        <v>117.03</v>
      </c>
      <c r="AF172" s="79">
        <f t="shared" si="77"/>
        <v>-4.8705460138426674E-3</v>
      </c>
      <c r="AG172" s="79">
        <f t="shared" si="78"/>
        <v>-8.4088793471760008E-3</v>
      </c>
      <c r="AH172" s="79">
        <f t="shared" si="79"/>
        <v>-6.1802973132987465E-2</v>
      </c>
      <c r="AI172" s="80">
        <f t="shared" si="80"/>
        <v>4.974273892420477E-2</v>
      </c>
      <c r="AJ172">
        <v>57.93</v>
      </c>
      <c r="AK172" s="79">
        <f t="shared" si="81"/>
        <v>-5.5584325910581718E-2</v>
      </c>
      <c r="AL172" s="79">
        <f t="shared" si="82"/>
        <v>-5.9122659243915049E-2</v>
      </c>
      <c r="AM172" s="79">
        <f t="shared" si="83"/>
        <v>-5.325466173650141E-2</v>
      </c>
      <c r="AN172" s="80">
        <f t="shared" si="84"/>
        <v>-6.9864039146672399E-3</v>
      </c>
      <c r="AO172">
        <v>23.99</v>
      </c>
      <c r="AP172" s="79">
        <f t="shared" si="85"/>
        <v>-0.10045852438516049</v>
      </c>
      <c r="AQ172" s="79">
        <f t="shared" si="86"/>
        <v>-0.10399685771849383</v>
      </c>
      <c r="AR172" s="79">
        <f t="shared" si="87"/>
        <v>-3.3400393034795792E-2</v>
      </c>
      <c r="AS172" s="80">
        <f t="shared" si="88"/>
        <v>-7.5816489066737297E-2</v>
      </c>
      <c r="AT172" s="178">
        <f t="shared" si="56"/>
        <v>38.342509137491604</v>
      </c>
      <c r="AU172" s="80">
        <f t="shared" si="89"/>
        <v>-3.6653049067025691E-2</v>
      </c>
      <c r="AV172">
        <v>52.6</v>
      </c>
      <c r="AW172" s="79">
        <f t="shared" si="90"/>
        <v>-1.3307984790874579E-3</v>
      </c>
      <c r="AX172" s="79">
        <f t="shared" si="91"/>
        <v>-4.8691318124207909E-3</v>
      </c>
      <c r="AZ172" s="307">
        <f t="shared" si="92"/>
        <v>-6.755218024431689E-2</v>
      </c>
    </row>
    <row r="173" spans="2:52">
      <c r="B173" s="267">
        <v>42010</v>
      </c>
      <c r="C173">
        <v>35.78</v>
      </c>
      <c r="D173" s="79">
        <f t="shared" si="57"/>
        <v>5.0866405813303525E-2</v>
      </c>
      <c r="E173" s="79">
        <f t="shared" si="58"/>
        <v>4.7328072479970194E-2</v>
      </c>
      <c r="F173" s="258">
        <v>21.7</v>
      </c>
      <c r="G173" s="79">
        <f t="shared" si="59"/>
        <v>0.23548387096774193</v>
      </c>
      <c r="H173" s="79">
        <f t="shared" si="60"/>
        <v>0.23194553763440859</v>
      </c>
      <c r="I173" s="79">
        <f t="shared" si="61"/>
        <v>5.4968032307119198E-2</v>
      </c>
      <c r="J173" s="80">
        <f t="shared" si="62"/>
        <v>0.16335666584118069</v>
      </c>
      <c r="K173">
        <v>17.88</v>
      </c>
      <c r="L173" s="79">
        <f t="shared" si="63"/>
        <v>-7.8299776286353782E-3</v>
      </c>
      <c r="M173" s="79">
        <f t="shared" si="64"/>
        <v>-1.1368310961968711E-2</v>
      </c>
      <c r="N173" s="79">
        <f t="shared" si="65"/>
        <v>8.4522603950573899E-2</v>
      </c>
      <c r="O173" s="80">
        <f t="shared" si="66"/>
        <v>-0.10951175439865131</v>
      </c>
      <c r="P173">
        <v>123.69</v>
      </c>
      <c r="Q173" s="79">
        <f t="shared" si="67"/>
        <v>7.5834748160724358E-2</v>
      </c>
      <c r="R173" s="79">
        <f t="shared" si="68"/>
        <v>7.229641482739102E-2</v>
      </c>
      <c r="S173" s="79">
        <f t="shared" si="93"/>
        <v>3.5020100522329824E-2</v>
      </c>
      <c r="T173" s="80">
        <f t="shared" si="94"/>
        <v>2.688310914165664E-2</v>
      </c>
      <c r="U173">
        <v>93.85</v>
      </c>
      <c r="V173" s="79">
        <f t="shared" si="69"/>
        <v>0.21800745871070867</v>
      </c>
      <c r="W173" s="79">
        <f t="shared" si="70"/>
        <v>0.21446912537737534</v>
      </c>
      <c r="X173" s="79">
        <f t="shared" si="71"/>
        <v>5.4361906906272711E-2</v>
      </c>
      <c r="Y173" s="80">
        <f t="shared" si="72"/>
        <v>0.13941121709947235</v>
      </c>
      <c r="Z173" s="269">
        <v>1151.3699999999999</v>
      </c>
      <c r="AA173" s="79">
        <f t="shared" si="73"/>
        <v>8.0078515160200509E-2</v>
      </c>
      <c r="AB173" s="79">
        <f t="shared" si="74"/>
        <v>7.6540181826867171E-2</v>
      </c>
      <c r="AC173" s="79">
        <f t="shared" si="75"/>
        <v>4.7565739845940799E-2</v>
      </c>
      <c r="AD173" s="80">
        <f t="shared" si="76"/>
        <v>2.2848623483873343E-2</v>
      </c>
      <c r="AE173">
        <v>111.13</v>
      </c>
      <c r="AF173" s="79">
        <f t="shared" si="77"/>
        <v>5.3090974534329219E-2</v>
      </c>
      <c r="AG173" s="79">
        <f t="shared" si="78"/>
        <v>4.9552641200995888E-2</v>
      </c>
      <c r="AH173" s="79">
        <f t="shared" si="79"/>
        <v>4.0388878754697377E-2</v>
      </c>
      <c r="AI173" s="80">
        <f t="shared" si="80"/>
        <v>5.5124075846918197E-3</v>
      </c>
      <c r="AJ173">
        <v>53.62</v>
      </c>
      <c r="AK173" s="79">
        <f t="shared" si="81"/>
        <v>8.0380455054084338E-2</v>
      </c>
      <c r="AL173" s="79">
        <f t="shared" si="82"/>
        <v>7.6842121720751E-2</v>
      </c>
      <c r="AM173" s="79">
        <f t="shared" si="83"/>
        <v>3.4802469314375618E-2</v>
      </c>
      <c r="AN173" s="80">
        <f t="shared" si="84"/>
        <v>4.0921245999121787E-2</v>
      </c>
      <c r="AO173">
        <v>23.64</v>
      </c>
      <c r="AP173" s="79">
        <f t="shared" si="85"/>
        <v>1.4805414551607355E-2</v>
      </c>
      <c r="AQ173" s="79">
        <f t="shared" si="86"/>
        <v>1.1267081218274022E-2</v>
      </c>
      <c r="AR173" s="79">
        <f t="shared" si="87"/>
        <v>2.1827500462458689E-2</v>
      </c>
      <c r="AS173" s="80">
        <f t="shared" si="88"/>
        <v>-1.5780443627223927E-2</v>
      </c>
      <c r="AT173" s="178">
        <f t="shared" si="56"/>
        <v>39.8013499709092</v>
      </c>
      <c r="AU173" s="80">
        <f t="shared" si="89"/>
        <v>0.10915269379572219</v>
      </c>
      <c r="AV173">
        <v>52.67</v>
      </c>
      <c r="AW173" s="79">
        <f t="shared" si="90"/>
        <v>-1.3290298082399901E-3</v>
      </c>
      <c r="AX173" s="79">
        <f t="shared" si="91"/>
        <v>-4.8673631415733229E-3</v>
      </c>
      <c r="AZ173" s="307">
        <f t="shared" si="92"/>
        <v>5.2195435621543516E-2</v>
      </c>
    </row>
    <row r="174" spans="2:52">
      <c r="B174" s="267">
        <v>42009</v>
      </c>
      <c r="C174">
        <v>36.049999999999997</v>
      </c>
      <c r="D174" s="79">
        <f t="shared" si="57"/>
        <v>-7.4895977808598071E-3</v>
      </c>
      <c r="E174" s="79">
        <f t="shared" si="58"/>
        <v>-1.1027931114193141E-2</v>
      </c>
      <c r="F174" s="258">
        <v>21.46</v>
      </c>
      <c r="G174" s="79">
        <f t="shared" si="59"/>
        <v>1.1183597390493868E-2</v>
      </c>
      <c r="H174" s="79">
        <f t="shared" si="60"/>
        <v>7.6452640571605356E-3</v>
      </c>
      <c r="I174" s="79">
        <f t="shared" si="61"/>
        <v>-1.2808120888975517E-2</v>
      </c>
      <c r="J174" s="80">
        <f t="shared" si="62"/>
        <v>6.8325454600273536E-3</v>
      </c>
      <c r="K174">
        <v>16.72</v>
      </c>
      <c r="L174" s="79">
        <f t="shared" si="63"/>
        <v>6.9377990430622025E-2</v>
      </c>
      <c r="M174" s="79">
        <f t="shared" si="64"/>
        <v>6.5839657097288687E-2</v>
      </c>
      <c r="N174" s="79">
        <f t="shared" si="65"/>
        <v>-1.9694642209518207E-2</v>
      </c>
      <c r="O174" s="80">
        <f t="shared" si="66"/>
        <v>7.1913459820698189E-2</v>
      </c>
      <c r="P174">
        <v>130.58000000000001</v>
      </c>
      <c r="Q174" s="79">
        <f t="shared" si="67"/>
        <v>-5.2764588757849701E-2</v>
      </c>
      <c r="R174" s="79">
        <f t="shared" si="68"/>
        <v>-5.6302922091183032E-2</v>
      </c>
      <c r="S174" s="79">
        <f t="shared" si="93"/>
        <v>-8.1600461615210854E-3</v>
      </c>
      <c r="T174" s="80">
        <f t="shared" si="94"/>
        <v>-5.853608109306651E-2</v>
      </c>
      <c r="U174">
        <v>89.15</v>
      </c>
      <c r="V174" s="79">
        <f t="shared" si="69"/>
        <v>5.2720134604598859E-2</v>
      </c>
      <c r="W174" s="79">
        <f t="shared" si="70"/>
        <v>4.9181801271265528E-2</v>
      </c>
      <c r="X174" s="79">
        <f t="shared" si="71"/>
        <v>-1.2666887392303396E-2</v>
      </c>
      <c r="Y174" s="80">
        <f t="shared" si="72"/>
        <v>4.1152687291938647E-2</v>
      </c>
      <c r="Z174" s="269">
        <v>1172.04</v>
      </c>
      <c r="AA174" s="79">
        <f t="shared" si="73"/>
        <v>-1.7635916862905766E-2</v>
      </c>
      <c r="AB174" s="79">
        <f t="shared" si="74"/>
        <v>-2.11742501962391E-2</v>
      </c>
      <c r="AC174" s="79">
        <f t="shared" si="75"/>
        <v>-1.1083310072233841E-2</v>
      </c>
      <c r="AD174" s="80">
        <f t="shared" si="76"/>
        <v>-1.6216758621058293E-2</v>
      </c>
      <c r="AE174">
        <v>111.42</v>
      </c>
      <c r="AF174" s="79">
        <f t="shared" si="77"/>
        <v>-2.6027643152037898E-3</v>
      </c>
      <c r="AG174" s="79">
        <f t="shared" si="78"/>
        <v>-6.1410976485371232E-3</v>
      </c>
      <c r="AH174" s="79">
        <f t="shared" si="79"/>
        <v>-9.4110270997155559E-3</v>
      </c>
      <c r="AI174" s="80">
        <f t="shared" si="80"/>
        <v>-3.8142541042826029E-4</v>
      </c>
      <c r="AJ174">
        <v>51.96</v>
      </c>
      <c r="AK174" s="79">
        <f t="shared" si="81"/>
        <v>3.1947652040030729E-2</v>
      </c>
      <c r="AL174" s="79">
        <f t="shared" si="82"/>
        <v>2.8409318706697394E-2</v>
      </c>
      <c r="AM174" s="79">
        <f t="shared" si="83"/>
        <v>-8.1093358358336545E-3</v>
      </c>
      <c r="AN174" s="80">
        <f t="shared" si="84"/>
        <v>3.5400248135277451E-2</v>
      </c>
      <c r="AO174">
        <v>24.76</v>
      </c>
      <c r="AP174" s="79">
        <f t="shared" si="85"/>
        <v>-4.5234248788368375E-2</v>
      </c>
      <c r="AQ174" s="79">
        <f t="shared" si="86"/>
        <v>-4.8772582121701706E-2</v>
      </c>
      <c r="AR174" s="79">
        <f t="shared" si="87"/>
        <v>-5.0860336980105333E-3</v>
      </c>
      <c r="AS174" s="80">
        <f t="shared" si="88"/>
        <v>-4.8906572806730435E-2</v>
      </c>
      <c r="AT174" s="178">
        <f t="shared" si="56"/>
        <v>35.884464053999409</v>
      </c>
      <c r="AU174" s="80">
        <f t="shared" si="89"/>
        <v>-1.3587392195492145E-2</v>
      </c>
      <c r="AV174">
        <v>52.76</v>
      </c>
      <c r="AW174" s="79">
        <f t="shared" si="90"/>
        <v>-1.7058377558755934E-3</v>
      </c>
      <c r="AX174" s="79">
        <f t="shared" si="91"/>
        <v>-5.2441710892089264E-3</v>
      </c>
      <c r="AZ174" s="307">
        <f t="shared" si="92"/>
        <v>-5.7837600249842141E-3</v>
      </c>
    </row>
    <row r="175" spans="2:52">
      <c r="B175" s="267">
        <v>42008</v>
      </c>
      <c r="C175">
        <v>35.67</v>
      </c>
      <c r="D175" s="79">
        <f t="shared" si="57"/>
        <v>1.0653209980375538E-2</v>
      </c>
      <c r="E175" s="79">
        <f t="shared" si="58"/>
        <v>7.1148766470422054E-3</v>
      </c>
      <c r="F175" s="258">
        <v>21.09</v>
      </c>
      <c r="G175" s="79">
        <f t="shared" si="59"/>
        <v>1.7543859649122855E-2</v>
      </c>
      <c r="H175" s="79">
        <f t="shared" si="60"/>
        <v>1.4005526315789522E-2</v>
      </c>
      <c r="I175" s="79">
        <f t="shared" si="61"/>
        <v>8.263399477367225E-3</v>
      </c>
      <c r="J175" s="80">
        <f t="shared" si="62"/>
        <v>-7.8787126476864023E-3</v>
      </c>
      <c r="K175">
        <v>15.07</v>
      </c>
      <c r="L175" s="79">
        <f t="shared" si="63"/>
        <v>0.10948905109489042</v>
      </c>
      <c r="M175" s="79">
        <f t="shared" si="64"/>
        <v>0.10595071776155708</v>
      </c>
      <c r="N175" s="79">
        <f t="shared" si="65"/>
        <v>1.2706367901410767E-2</v>
      </c>
      <c r="O175" s="80">
        <f t="shared" si="66"/>
        <v>7.9623510374037615E-2</v>
      </c>
      <c r="P175">
        <v>131</v>
      </c>
      <c r="Q175" s="79">
        <f t="shared" si="67"/>
        <v>-3.2061068702289122E-3</v>
      </c>
      <c r="R175" s="79">
        <f t="shared" si="68"/>
        <v>-6.7444402035622452E-3</v>
      </c>
      <c r="S175" s="79">
        <f t="shared" si="93"/>
        <v>5.2646068670733218E-3</v>
      </c>
      <c r="T175" s="80">
        <f t="shared" si="94"/>
        <v>-2.2402252234040125E-2</v>
      </c>
      <c r="U175">
        <v>79.5</v>
      </c>
      <c r="V175" s="79">
        <f t="shared" si="69"/>
        <v>0.12138364779874221</v>
      </c>
      <c r="W175" s="79">
        <f t="shared" si="70"/>
        <v>0.11784531446540887</v>
      </c>
      <c r="X175" s="79">
        <f t="shared" si="71"/>
        <v>8.1722800373881955E-3</v>
      </c>
      <c r="Y175" s="80">
        <f t="shared" si="72"/>
        <v>8.8977033056390403E-2</v>
      </c>
      <c r="Z175" s="269">
        <v>1237.81</v>
      </c>
      <c r="AA175" s="79">
        <f t="shared" si="73"/>
        <v>-5.3134164370945446E-2</v>
      </c>
      <c r="AB175" s="79">
        <f t="shared" si="74"/>
        <v>-5.6672497704278776E-2</v>
      </c>
      <c r="AC175" s="79">
        <f t="shared" si="75"/>
        <v>7.1506054207551833E-3</v>
      </c>
      <c r="AD175" s="80">
        <f t="shared" si="76"/>
        <v>-6.994892162208699E-2</v>
      </c>
      <c r="AE175">
        <v>106.98</v>
      </c>
      <c r="AF175" s="79">
        <f t="shared" si="77"/>
        <v>4.1503084688726842E-2</v>
      </c>
      <c r="AG175" s="79">
        <f t="shared" si="78"/>
        <v>3.7964751355393511E-2</v>
      </c>
      <c r="AH175" s="79">
        <f t="shared" si="79"/>
        <v>6.0717006882887612E-3</v>
      </c>
      <c r="AI175" s="80">
        <f t="shared" si="80"/>
        <v>2.8241695805498058E-2</v>
      </c>
      <c r="AJ175">
        <v>49.58</v>
      </c>
      <c r="AK175" s="79">
        <f t="shared" si="81"/>
        <v>4.8003227107704771E-2</v>
      </c>
      <c r="AL175" s="79">
        <f t="shared" si="82"/>
        <v>4.446489377437144E-2</v>
      </c>
      <c r="AM175" s="79">
        <f t="shared" si="83"/>
        <v>5.2318901491086034E-3</v>
      </c>
      <c r="AN175" s="80">
        <f t="shared" si="84"/>
        <v>3.8114597218009236E-2</v>
      </c>
      <c r="AO175">
        <v>26.02</v>
      </c>
      <c r="AP175" s="79">
        <f t="shared" si="85"/>
        <v>-4.8424289008454961E-2</v>
      </c>
      <c r="AQ175" s="79">
        <f t="shared" si="86"/>
        <v>-5.1962622341788292E-2</v>
      </c>
      <c r="AR175" s="79">
        <f t="shared" si="87"/>
        <v>3.2813500564464163E-3</v>
      </c>
      <c r="AS175" s="80">
        <f t="shared" si="88"/>
        <v>-6.0463996781273975E-2</v>
      </c>
      <c r="AT175" s="178">
        <f>AT176*(1+AU175)</f>
        <v>36.378756485958426</v>
      </c>
      <c r="AU175" s="80">
        <f>$F$32*E175+$G$32*H175+$H$32*M175+$I$32*R175+$J$32*W175+$K$32*AB175+$L$32*AG175+$M$32*AL175+$N$32*AQ175</f>
        <v>9.1194586951018983E-3</v>
      </c>
      <c r="AV175">
        <v>52.77</v>
      </c>
      <c r="AW175" s="79">
        <f t="shared" si="90"/>
        <v>-1.8950161076378844E-4</v>
      </c>
      <c r="AX175" s="79">
        <f t="shared" si="91"/>
        <v>-3.7278349440971214E-3</v>
      </c>
      <c r="AZ175" s="307">
        <f t="shared" si="92"/>
        <v>1.0842711591139326E-2</v>
      </c>
    </row>
    <row r="176" spans="2:52">
      <c r="B176" s="268">
        <v>42007</v>
      </c>
      <c r="C176" s="251">
        <v>36.049999999999997</v>
      </c>
      <c r="D176" s="239">
        <f t="shared" si="57"/>
        <v>-1.0540915395284203E-2</v>
      </c>
      <c r="E176" s="239">
        <f t="shared" si="58"/>
        <v>-1.4079248728617535E-2</v>
      </c>
      <c r="F176" s="264">
        <v>18.600000000000001</v>
      </c>
      <c r="G176" s="239">
        <f t="shared" si="59"/>
        <v>0.13387096774193538</v>
      </c>
      <c r="H176" s="239">
        <f t="shared" si="60"/>
        <v>0.13033263440860204</v>
      </c>
      <c r="I176" s="239">
        <f t="shared" si="61"/>
        <v>-1.6351999107974299E-2</v>
      </c>
      <c r="J176" s="240">
        <f t="shared" si="62"/>
        <v>0.13306379403046764</v>
      </c>
      <c r="K176">
        <v>12.58</v>
      </c>
      <c r="L176" s="79">
        <f t="shared" si="63"/>
        <v>0.19793322734499208</v>
      </c>
      <c r="M176" s="79">
        <f t="shared" si="64"/>
        <v>0.19439489401165874</v>
      </c>
      <c r="N176" s="79">
        <f t="shared" si="65"/>
        <v>-2.5143951609569344E-2</v>
      </c>
      <c r="O176" s="240">
        <f t="shared" si="66"/>
        <v>0.20591800613511937</v>
      </c>
      <c r="P176">
        <v>138.74</v>
      </c>
      <c r="Q176" s="79">
        <f t="shared" si="67"/>
        <v>-5.578780452645242E-2</v>
      </c>
      <c r="R176" s="239">
        <f t="shared" si="68"/>
        <v>-5.9326137859785751E-2</v>
      </c>
      <c r="S176" s="239">
        <f t="shared" si="93"/>
        <v>-1.0417848856273153E-2</v>
      </c>
      <c r="T176" s="240">
        <f t="shared" si="94"/>
        <v>-5.9301494166917157E-2</v>
      </c>
      <c r="U176" s="264">
        <v>59.53</v>
      </c>
      <c r="V176" s="239">
        <f t="shared" si="69"/>
        <v>0.33546111204434736</v>
      </c>
      <c r="W176" s="239">
        <f t="shared" si="70"/>
        <v>0.33192277871101405</v>
      </c>
      <c r="X176" s="239">
        <f t="shared" si="71"/>
        <v>-1.6171687723375607E-2</v>
      </c>
      <c r="Y176" s="240">
        <f t="shared" si="72"/>
        <v>0.32739846506275938</v>
      </c>
      <c r="Z176" s="270">
        <v>1164.1500000000001</v>
      </c>
      <c r="AA176" s="239">
        <f t="shared" si="73"/>
        <v>6.327363312287923E-2</v>
      </c>
      <c r="AB176" s="239">
        <f t="shared" si="74"/>
        <v>5.97352997895459E-2</v>
      </c>
      <c r="AC176" s="239">
        <f t="shared" si="75"/>
        <v>-1.4149950487316701E-2</v>
      </c>
      <c r="AD176" s="240">
        <f t="shared" si="76"/>
        <v>6.7759431779809573E-2</v>
      </c>
      <c r="AE176">
        <v>113.61</v>
      </c>
      <c r="AF176" s="79">
        <f t="shared" si="77"/>
        <v>-5.8357538949036135E-2</v>
      </c>
      <c r="AG176" s="239">
        <f t="shared" si="78"/>
        <v>-6.1895872282369466E-2</v>
      </c>
      <c r="AH176" s="239">
        <f t="shared" si="79"/>
        <v>-1.2014963637025745E-2</v>
      </c>
      <c r="AI176" s="240">
        <f t="shared" si="80"/>
        <v>-5.3532263506950423E-2</v>
      </c>
      <c r="AJ176">
        <v>47.35</v>
      </c>
      <c r="AK176" s="79">
        <f t="shared" si="81"/>
        <v>4.7096092925026332E-2</v>
      </c>
      <c r="AL176" s="239">
        <f t="shared" si="82"/>
        <v>4.3557759591693002E-2</v>
      </c>
      <c r="AM176" s="239">
        <f t="shared" si="83"/>
        <v>-1.0353107493539789E-2</v>
      </c>
      <c r="AN176" s="240">
        <f t="shared" si="84"/>
        <v>5.2792460677979186E-2</v>
      </c>
      <c r="AO176" s="251">
        <v>27.42</v>
      </c>
      <c r="AP176" s="239">
        <f t="shared" si="85"/>
        <v>-5.1057622173595989E-2</v>
      </c>
      <c r="AQ176" s="239">
        <f t="shared" si="86"/>
        <v>-5.459595550692932E-2</v>
      </c>
      <c r="AR176" s="239">
        <f t="shared" si="87"/>
        <v>-6.4932880641828264E-3</v>
      </c>
      <c r="AS176" s="240">
        <f t="shared" si="88"/>
        <v>-5.3322691825785758E-2</v>
      </c>
      <c r="AT176" s="178">
        <f>C176</f>
        <v>36.049999999999997</v>
      </c>
      <c r="AU176" s="80">
        <f>$F$32*E176+$G$32*H176+$H$32*M176+$I$32*R176+$J$32*W176+$K$32*AB176+$L$32*AG176+$M$32*AL176+$N$32*AQ176</f>
        <v>4.4229395241387484E-2</v>
      </c>
      <c r="AV176">
        <v>52.76</v>
      </c>
      <c r="AW176" s="79">
        <f t="shared" si="90"/>
        <v>1.8953752843072624E-4</v>
      </c>
      <c r="AX176" s="79">
        <f t="shared" si="91"/>
        <v>-3.3487958049026067E-3</v>
      </c>
      <c r="AZ176" s="307">
        <f t="shared" si="92"/>
        <v>-1.0730452923714929E-2</v>
      </c>
    </row>
    <row r="177" spans="6:53">
      <c r="F177" s="258" t="s">
        <v>110</v>
      </c>
      <c r="G177"/>
      <c r="H177"/>
      <c r="I177"/>
      <c r="J177" s="151"/>
      <c r="K177" s="255" t="s">
        <v>110</v>
      </c>
      <c r="L177" s="256"/>
      <c r="M177" s="256"/>
      <c r="N177" s="256"/>
      <c r="O177" s="257"/>
      <c r="P177" s="255" t="s">
        <v>110</v>
      </c>
      <c r="Q177" s="256"/>
      <c r="R177"/>
      <c r="S177"/>
      <c r="T177" s="257"/>
      <c r="U177" t="s">
        <v>110</v>
      </c>
      <c r="V177"/>
      <c r="W177"/>
      <c r="X177"/>
      <c r="Y177"/>
      <c r="Z177" s="255" t="s">
        <v>110</v>
      </c>
      <c r="AA177" s="256"/>
      <c r="AB177" s="256"/>
      <c r="AE177" s="255" t="s">
        <v>110</v>
      </c>
      <c r="AF177" s="256"/>
      <c r="AG177"/>
      <c r="AH177"/>
      <c r="AI177"/>
      <c r="AJ177" s="255" t="s">
        <v>110</v>
      </c>
      <c r="AK177" s="256"/>
      <c r="AL177"/>
      <c r="AO177" s="255" t="s">
        <v>110</v>
      </c>
      <c r="AP177" s="256"/>
      <c r="AQ177"/>
      <c r="AT177"/>
      <c r="AU177"/>
      <c r="AV177"/>
      <c r="AW177"/>
      <c r="AZ177" s="241">
        <f>AVERAGE(AZ57:AZ176)*12</f>
        <v>0.10792455116696814</v>
      </c>
      <c r="BA177" s="243" t="s">
        <v>188</v>
      </c>
    </row>
    <row r="178" spans="6:53" ht="17" thickBot="1">
      <c r="F178" s="258"/>
      <c r="G178"/>
      <c r="H178"/>
      <c r="I178"/>
      <c r="J178" s="151"/>
      <c r="K178" s="258"/>
      <c r="L178"/>
      <c r="M178"/>
      <c r="N178"/>
      <c r="O178" s="151"/>
      <c r="P178" s="258"/>
      <c r="Q178"/>
      <c r="R178"/>
      <c r="S178"/>
      <c r="T178" s="151"/>
      <c r="U178"/>
      <c r="V178"/>
      <c r="W178"/>
      <c r="X178"/>
      <c r="Y178"/>
      <c r="Z178" s="258"/>
      <c r="AA178"/>
      <c r="AB178"/>
      <c r="AE178" s="258"/>
      <c r="AF178"/>
      <c r="AG178"/>
      <c r="AH178"/>
      <c r="AI178"/>
      <c r="AJ178" s="258"/>
      <c r="AK178"/>
      <c r="AL178"/>
      <c r="AM178"/>
      <c r="AN178" s="151"/>
      <c r="AO178" s="258"/>
      <c r="AP178"/>
      <c r="AQ178"/>
      <c r="AR178"/>
      <c r="AS178" s="151"/>
      <c r="AT178"/>
      <c r="AU178"/>
      <c r="AV178"/>
      <c r="AW178"/>
      <c r="AZ178" s="79">
        <f>_xlfn.STDEV.S(AZ57:AZ176)</f>
        <v>5.0701920859903403E-2</v>
      </c>
      <c r="BA178" s="243" t="s">
        <v>189</v>
      </c>
    </row>
    <row r="179" spans="6:53">
      <c r="F179" s="259" t="s">
        <v>111</v>
      </c>
      <c r="G179" s="254"/>
      <c r="H179"/>
      <c r="I179"/>
      <c r="J179" s="151"/>
      <c r="K179" s="259" t="s">
        <v>111</v>
      </c>
      <c r="L179" s="254"/>
      <c r="M179"/>
      <c r="N179"/>
      <c r="O179" s="151"/>
      <c r="P179" s="259" t="s">
        <v>111</v>
      </c>
      <c r="Q179" s="254"/>
      <c r="R179"/>
      <c r="S179"/>
      <c r="T179" s="151"/>
      <c r="U179" s="254" t="s">
        <v>111</v>
      </c>
      <c r="V179" s="254"/>
      <c r="W179"/>
      <c r="X179"/>
      <c r="Y179"/>
      <c r="Z179" s="259" t="s">
        <v>111</v>
      </c>
      <c r="AA179" s="254"/>
      <c r="AB179"/>
      <c r="AC179"/>
      <c r="AD179" s="151"/>
      <c r="AE179" s="259" t="s">
        <v>111</v>
      </c>
      <c r="AF179" s="254"/>
      <c r="AG179"/>
      <c r="AH179"/>
      <c r="AI179" s="151"/>
      <c r="AJ179" s="259" t="s">
        <v>111</v>
      </c>
      <c r="AK179" s="254"/>
      <c r="AL179"/>
      <c r="AM179"/>
      <c r="AN179" s="151"/>
      <c r="AO179" s="259" t="s">
        <v>111</v>
      </c>
      <c r="AP179" s="254"/>
      <c r="AQ179"/>
      <c r="AR179"/>
      <c r="AS179" s="151"/>
      <c r="AT179"/>
      <c r="AU179"/>
      <c r="AV179"/>
      <c r="AW179"/>
      <c r="AZ179" s="152">
        <f>CORREL(AU57:AU176,E57:E176)</f>
        <v>0.90970200391092837</v>
      </c>
      <c r="BA179" s="244" t="s">
        <v>190</v>
      </c>
    </row>
    <row r="180" spans="6:53">
      <c r="F180" s="258" t="s">
        <v>112</v>
      </c>
      <c r="G180">
        <v>0.70670402321754089</v>
      </c>
      <c r="H180"/>
      <c r="I180"/>
      <c r="J180" s="151"/>
      <c r="K180" s="258" t="s">
        <v>112</v>
      </c>
      <c r="L180">
        <v>0.53535364569412525</v>
      </c>
      <c r="M180"/>
      <c r="N180"/>
      <c r="O180" s="151"/>
      <c r="P180" s="258" t="s">
        <v>112</v>
      </c>
      <c r="Q180">
        <v>0.66689624566230032</v>
      </c>
      <c r="R180"/>
      <c r="S180"/>
      <c r="T180" s="151"/>
      <c r="U180" t="s">
        <v>112</v>
      </c>
      <c r="V180">
        <v>0.52929468738152508</v>
      </c>
      <c r="W180"/>
      <c r="X180"/>
      <c r="Y180"/>
      <c r="Z180" s="258" t="s">
        <v>112</v>
      </c>
      <c r="AA180">
        <v>0.64490620210191674</v>
      </c>
      <c r="AB180"/>
      <c r="AC180"/>
      <c r="AD180"/>
      <c r="AE180" s="258" t="s">
        <v>112</v>
      </c>
      <c r="AF180">
        <v>0.73116831454264286</v>
      </c>
      <c r="AG180"/>
      <c r="AH180"/>
      <c r="AI180" s="151"/>
      <c r="AJ180" s="258" t="s">
        <v>112</v>
      </c>
      <c r="AK180">
        <v>0.55851889736849125</v>
      </c>
      <c r="AL180"/>
      <c r="AM180"/>
      <c r="AN180" s="151"/>
      <c r="AO180" s="258" t="s">
        <v>112</v>
      </c>
      <c r="AP180">
        <v>0.45693715707817095</v>
      </c>
      <c r="AQ180"/>
      <c r="AR180"/>
      <c r="AS180" s="151"/>
      <c r="AT180"/>
      <c r="AU180"/>
      <c r="AV180"/>
      <c r="AW180"/>
      <c r="AZ180" s="152">
        <f>RSQ(AU57:AU176,E57:E176)</f>
        <v>0.82755773591955895</v>
      </c>
      <c r="BA180" s="244" t="s">
        <v>191</v>
      </c>
    </row>
    <row r="181" spans="6:53">
      <c r="F181" s="258" t="s">
        <v>113</v>
      </c>
      <c r="G181">
        <v>0.49943057643185862</v>
      </c>
      <c r="H181"/>
      <c r="I181"/>
      <c r="J181" s="151"/>
      <c r="K181" s="258" t="s">
        <v>113</v>
      </c>
      <c r="L181">
        <v>0.28660352595799093</v>
      </c>
      <c r="M181"/>
      <c r="N181"/>
      <c r="O181" s="151"/>
      <c r="P181" s="258" t="s">
        <v>113</v>
      </c>
      <c r="Q181">
        <v>0.4447506024784712</v>
      </c>
      <c r="R181"/>
      <c r="S181"/>
      <c r="T181" s="151"/>
      <c r="U181" t="s">
        <v>113</v>
      </c>
      <c r="V181">
        <v>0.28015286609030637</v>
      </c>
      <c r="W181"/>
      <c r="X181"/>
      <c r="Y181"/>
      <c r="Z181" s="258" t="s">
        <v>113</v>
      </c>
      <c r="AA181">
        <v>0.41590400950951822</v>
      </c>
      <c r="AB181"/>
      <c r="AC181"/>
      <c r="AD181"/>
      <c r="AE181" s="258" t="s">
        <v>113</v>
      </c>
      <c r="AF181">
        <v>0.53460710419112911</v>
      </c>
      <c r="AG181"/>
      <c r="AH181"/>
      <c r="AI181" s="151"/>
      <c r="AJ181" s="258" t="s">
        <v>113</v>
      </c>
      <c r="AK181">
        <v>0.31194335871771528</v>
      </c>
      <c r="AL181"/>
      <c r="AM181"/>
      <c r="AN181" s="151"/>
      <c r="AO181" s="258" t="s">
        <v>113</v>
      </c>
      <c r="AP181">
        <v>0.20879156551868105</v>
      </c>
      <c r="AQ181"/>
      <c r="AR181"/>
      <c r="AS181" s="151"/>
      <c r="AT181"/>
      <c r="AU181"/>
      <c r="AV181"/>
      <c r="AW181"/>
      <c r="AZ181" s="152">
        <f>SLOPE(AU57:AU176,E57:E176)</f>
        <v>0.91056787493350844</v>
      </c>
      <c r="BA181" s="244" t="s">
        <v>192</v>
      </c>
    </row>
    <row r="182" spans="6:53">
      <c r="F182" s="258" t="s">
        <v>114</v>
      </c>
      <c r="G182">
        <v>0.49518846267280658</v>
      </c>
      <c r="H182"/>
      <c r="I182"/>
      <c r="J182" s="151"/>
      <c r="K182" s="258" t="s">
        <v>114</v>
      </c>
      <c r="L182">
        <v>0.28055779312712648</v>
      </c>
      <c r="M182"/>
      <c r="N182"/>
      <c r="O182" s="151"/>
      <c r="P182" s="258" t="s">
        <v>114</v>
      </c>
      <c r="Q182">
        <v>0.44004509910964468</v>
      </c>
      <c r="R182"/>
      <c r="S182"/>
      <c r="T182" s="151"/>
      <c r="U182" t="s">
        <v>114</v>
      </c>
      <c r="V182">
        <v>0.27405246665039373</v>
      </c>
      <c r="W182"/>
      <c r="X182"/>
      <c r="Y182"/>
      <c r="Z182" s="258" t="s">
        <v>114</v>
      </c>
      <c r="AA182">
        <v>0.41095404348841247</v>
      </c>
      <c r="AB182"/>
      <c r="AC182"/>
      <c r="AD182" s="151"/>
      <c r="AE182" s="258" t="s">
        <v>114</v>
      </c>
      <c r="AF182">
        <v>0.53066309659952848</v>
      </c>
      <c r="AG182"/>
      <c r="AH182"/>
      <c r="AI182" s="151"/>
      <c r="AJ182" s="258" t="s">
        <v>114</v>
      </c>
      <c r="AK182">
        <v>0.30611237023227222</v>
      </c>
      <c r="AL182"/>
      <c r="AM182"/>
      <c r="AN182" s="151"/>
      <c r="AO182" s="258" t="s">
        <v>114</v>
      </c>
      <c r="AP182">
        <v>0.20208640929426311</v>
      </c>
      <c r="AQ182"/>
      <c r="AR182"/>
      <c r="AS182" s="151"/>
      <c r="AT182"/>
      <c r="AU182"/>
      <c r="AV182"/>
      <c r="AW182"/>
    </row>
    <row r="183" spans="6:53">
      <c r="F183" s="258" t="s">
        <v>115</v>
      </c>
      <c r="G183">
        <v>6.3777322377177606E-2</v>
      </c>
      <c r="H183"/>
      <c r="I183"/>
      <c r="J183" s="151"/>
      <c r="K183" s="258" t="s">
        <v>115</v>
      </c>
      <c r="L183">
        <v>0.15454646610321418</v>
      </c>
      <c r="M183"/>
      <c r="N183"/>
      <c r="O183" s="151"/>
      <c r="P183" s="258" t="s">
        <v>115</v>
      </c>
      <c r="Q183">
        <v>4.534868098770059E-2</v>
      </c>
      <c r="R183"/>
      <c r="S183"/>
      <c r="T183" s="151"/>
      <c r="U183" t="s">
        <v>115</v>
      </c>
      <c r="V183">
        <v>0.10099009561185096</v>
      </c>
      <c r="W183"/>
      <c r="X183"/>
      <c r="Y183"/>
      <c r="Z183" s="258" t="s">
        <v>115</v>
      </c>
      <c r="AA183">
        <v>6.5328293093167622E-2</v>
      </c>
      <c r="AB183"/>
      <c r="AC183"/>
      <c r="AD183" s="151"/>
      <c r="AE183" s="258" t="s">
        <v>115</v>
      </c>
      <c r="AF183">
        <v>4.3673279455079463E-2</v>
      </c>
      <c r="AG183"/>
      <c r="AH183"/>
      <c r="AI183" s="151"/>
      <c r="AJ183" s="258" t="s">
        <v>115</v>
      </c>
      <c r="AK183">
        <v>5.990261460200625E-2</v>
      </c>
      <c r="AL183"/>
      <c r="AM183"/>
      <c r="AN183" s="151"/>
      <c r="AO183" s="258" t="s">
        <v>115</v>
      </c>
      <c r="AP183">
        <v>4.9244131322031356E-2</v>
      </c>
      <c r="AQ183"/>
      <c r="AR183"/>
      <c r="AS183" s="151"/>
      <c r="AT183"/>
      <c r="AU183"/>
      <c r="AV183"/>
      <c r="AW183"/>
    </row>
    <row r="184" spans="6:53" ht="17" thickBot="1">
      <c r="F184" s="260" t="s">
        <v>116</v>
      </c>
      <c r="G184" s="252">
        <v>120</v>
      </c>
      <c r="H184"/>
      <c r="I184"/>
      <c r="J184" s="151"/>
      <c r="K184" s="260" t="s">
        <v>116</v>
      </c>
      <c r="L184" s="252">
        <v>120</v>
      </c>
      <c r="M184"/>
      <c r="N184"/>
      <c r="O184" s="151"/>
      <c r="P184" s="260" t="s">
        <v>116</v>
      </c>
      <c r="Q184" s="252">
        <v>120</v>
      </c>
      <c r="R184"/>
      <c r="S184"/>
      <c r="T184" s="151"/>
      <c r="U184" s="252" t="s">
        <v>116</v>
      </c>
      <c r="V184" s="252">
        <v>120</v>
      </c>
      <c r="W184"/>
      <c r="X184"/>
      <c r="Y184"/>
      <c r="Z184" s="260" t="s">
        <v>116</v>
      </c>
      <c r="AA184" s="252">
        <v>120</v>
      </c>
      <c r="AB184"/>
      <c r="AC184"/>
      <c r="AD184" s="151"/>
      <c r="AE184" s="260" t="s">
        <v>116</v>
      </c>
      <c r="AF184" s="252">
        <v>120</v>
      </c>
      <c r="AG184"/>
      <c r="AH184"/>
      <c r="AI184" s="151"/>
      <c r="AJ184" s="260" t="s">
        <v>116</v>
      </c>
      <c r="AK184" s="252">
        <v>120</v>
      </c>
      <c r="AL184"/>
      <c r="AM184"/>
      <c r="AN184" s="151"/>
      <c r="AO184" s="260" t="s">
        <v>116</v>
      </c>
      <c r="AP184" s="252">
        <v>120</v>
      </c>
      <c r="AQ184"/>
      <c r="AR184"/>
      <c r="AS184" s="151"/>
      <c r="AT184"/>
      <c r="AU184"/>
      <c r="AV184"/>
      <c r="AW184"/>
    </row>
    <row r="185" spans="6:53">
      <c r="F185" s="258"/>
      <c r="G185"/>
      <c r="H185"/>
      <c r="I185"/>
      <c r="J185" s="151"/>
      <c r="K185" s="258"/>
      <c r="L185"/>
      <c r="M185"/>
      <c r="N185"/>
      <c r="O185" s="151"/>
      <c r="P185" s="258"/>
      <c r="Q185"/>
      <c r="R185"/>
      <c r="S185"/>
      <c r="T185" s="151"/>
      <c r="U185"/>
      <c r="V185"/>
      <c r="W185"/>
      <c r="X185"/>
      <c r="Y185"/>
      <c r="Z185" s="258"/>
      <c r="AA185"/>
      <c r="AB185"/>
      <c r="AC185"/>
      <c r="AD185" s="151"/>
      <c r="AE185" s="258"/>
      <c r="AF185"/>
      <c r="AG185"/>
      <c r="AH185"/>
      <c r="AI185" s="151"/>
      <c r="AJ185" s="258"/>
      <c r="AK185"/>
      <c r="AL185"/>
      <c r="AM185"/>
      <c r="AN185" s="151"/>
      <c r="AO185" s="258"/>
      <c r="AP185"/>
      <c r="AQ185"/>
      <c r="AR185"/>
      <c r="AS185" s="151"/>
      <c r="AT185"/>
      <c r="AU185"/>
      <c r="AV185"/>
      <c r="AW185"/>
    </row>
    <row r="186" spans="6:53" ht="17" thickBot="1">
      <c r="F186" s="258" t="s">
        <v>117</v>
      </c>
      <c r="G186"/>
      <c r="H186"/>
      <c r="I186"/>
      <c r="J186" s="151"/>
      <c r="K186" s="258" t="s">
        <v>117</v>
      </c>
      <c r="L186"/>
      <c r="M186"/>
      <c r="N186"/>
      <c r="O186" s="151"/>
      <c r="P186" s="258" t="s">
        <v>117</v>
      </c>
      <c r="Q186"/>
      <c r="R186"/>
      <c r="S186"/>
      <c r="T186" s="151"/>
      <c r="U186" t="s">
        <v>117</v>
      </c>
      <c r="V186"/>
      <c r="W186"/>
      <c r="X186"/>
      <c r="Y186"/>
      <c r="Z186" s="258" t="s">
        <v>117</v>
      </c>
      <c r="AA186"/>
      <c r="AB186"/>
      <c r="AC186"/>
      <c r="AD186" s="151"/>
      <c r="AE186" s="258" t="s">
        <v>117</v>
      </c>
      <c r="AF186"/>
      <c r="AG186"/>
      <c r="AH186"/>
      <c r="AI186" s="151"/>
      <c r="AJ186" s="258" t="s">
        <v>117</v>
      </c>
      <c r="AK186"/>
      <c r="AL186"/>
      <c r="AM186"/>
      <c r="AN186" s="151"/>
      <c r="AO186" s="258" t="s">
        <v>117</v>
      </c>
      <c r="AP186"/>
      <c r="AQ186"/>
      <c r="AR186"/>
      <c r="AS186" s="151"/>
      <c r="AT186"/>
      <c r="AU186"/>
      <c r="AV186"/>
      <c r="AW186"/>
    </row>
    <row r="187" spans="6:53">
      <c r="F187" s="261"/>
      <c r="G187" s="253" t="s">
        <v>122</v>
      </c>
      <c r="H187" s="253" t="s">
        <v>123</v>
      </c>
      <c r="I187" s="253" t="s">
        <v>124</v>
      </c>
      <c r="J187" s="262" t="s">
        <v>125</v>
      </c>
      <c r="K187" s="261"/>
      <c r="L187" s="253" t="s">
        <v>122</v>
      </c>
      <c r="M187" s="253" t="s">
        <v>123</v>
      </c>
      <c r="N187" s="253" t="s">
        <v>124</v>
      </c>
      <c r="O187" s="262" t="s">
        <v>125</v>
      </c>
      <c r="P187" s="261"/>
      <c r="Q187" s="253" t="s">
        <v>122</v>
      </c>
      <c r="R187" s="253" t="s">
        <v>123</v>
      </c>
      <c r="S187" s="253" t="s">
        <v>124</v>
      </c>
      <c r="T187" s="262" t="s">
        <v>125</v>
      </c>
      <c r="U187" s="253"/>
      <c r="V187" s="253" t="s">
        <v>122</v>
      </c>
      <c r="W187" s="253" t="s">
        <v>123</v>
      </c>
      <c r="X187" s="253" t="s">
        <v>124</v>
      </c>
      <c r="Y187" s="253" t="s">
        <v>125</v>
      </c>
      <c r="Z187" s="261"/>
      <c r="AA187" s="253" t="s">
        <v>122</v>
      </c>
      <c r="AB187" s="253" t="s">
        <v>123</v>
      </c>
      <c r="AC187" s="253" t="s">
        <v>124</v>
      </c>
      <c r="AD187" s="262" t="s">
        <v>125</v>
      </c>
      <c r="AE187" s="261"/>
      <c r="AF187" s="253" t="s">
        <v>122</v>
      </c>
      <c r="AG187" s="253" t="s">
        <v>123</v>
      </c>
      <c r="AH187" s="253" t="s">
        <v>124</v>
      </c>
      <c r="AI187" s="262" t="s">
        <v>125</v>
      </c>
      <c r="AJ187" s="261"/>
      <c r="AK187" s="253" t="s">
        <v>122</v>
      </c>
      <c r="AL187" s="253" t="s">
        <v>123</v>
      </c>
      <c r="AM187" s="253" t="s">
        <v>124</v>
      </c>
      <c r="AN187" s="262" t="s">
        <v>125</v>
      </c>
      <c r="AO187" s="261"/>
      <c r="AP187" s="253" t="s">
        <v>122</v>
      </c>
      <c r="AQ187" s="253" t="s">
        <v>123</v>
      </c>
      <c r="AR187" s="253" t="s">
        <v>124</v>
      </c>
      <c r="AS187" s="262" t="s">
        <v>125</v>
      </c>
      <c r="AT187" s="250"/>
      <c r="AU187"/>
      <c r="AV187"/>
      <c r="AW187"/>
    </row>
    <row r="188" spans="6:53">
      <c r="F188" s="258" t="s">
        <v>118</v>
      </c>
      <c r="G188">
        <v>1</v>
      </c>
      <c r="H188">
        <v>0.4788785457310536</v>
      </c>
      <c r="I188">
        <v>0.4788785457310536</v>
      </c>
      <c r="J188" s="151">
        <v>117.73153781322985</v>
      </c>
      <c r="K188" s="258" t="s">
        <v>118</v>
      </c>
      <c r="L188">
        <v>1</v>
      </c>
      <c r="M188">
        <v>1.1322719158550707</v>
      </c>
      <c r="N188">
        <v>1.1322719158550707</v>
      </c>
      <c r="O188" s="151">
        <v>47.405919840657148</v>
      </c>
      <c r="P188" s="258" t="s">
        <v>118</v>
      </c>
      <c r="Q188">
        <v>1</v>
      </c>
      <c r="R188">
        <v>0.19437471776143972</v>
      </c>
      <c r="S188">
        <v>0.19437471776143972</v>
      </c>
      <c r="T188" s="151">
        <v>94.517114879759518</v>
      </c>
      <c r="U188" t="s">
        <v>118</v>
      </c>
      <c r="V188">
        <v>1</v>
      </c>
      <c r="W188">
        <v>0.46837570958786845</v>
      </c>
      <c r="X188">
        <v>0.46837570958786845</v>
      </c>
      <c r="Y188">
        <v>45.923692186018144</v>
      </c>
      <c r="Z188" s="258" t="s">
        <v>118</v>
      </c>
      <c r="AA188">
        <v>1</v>
      </c>
      <c r="AB188">
        <v>0.35858615008955796</v>
      </c>
      <c r="AC188">
        <v>0.35858615008955796</v>
      </c>
      <c r="AD188" s="151">
        <v>84.021588781857744</v>
      </c>
      <c r="AE188" s="258" t="s">
        <v>118</v>
      </c>
      <c r="AF188">
        <v>1</v>
      </c>
      <c r="AG188">
        <v>0.2585405049109184</v>
      </c>
      <c r="AH188">
        <v>0.2585405049109184</v>
      </c>
      <c r="AI188" s="151">
        <v>135.54920769667407</v>
      </c>
      <c r="AJ188" s="258" t="s">
        <v>118</v>
      </c>
      <c r="AK188">
        <v>1</v>
      </c>
      <c r="AL188">
        <v>0.19196635446046834</v>
      </c>
      <c r="AM188">
        <v>0.19196635446046834</v>
      </c>
      <c r="AN188" s="151">
        <v>53.497508955209504</v>
      </c>
      <c r="AO188" s="258" t="s">
        <v>118</v>
      </c>
      <c r="AP188">
        <v>1</v>
      </c>
      <c r="AQ188">
        <v>7.5511485017346891E-2</v>
      </c>
      <c r="AR188">
        <v>7.5511485017346891E-2</v>
      </c>
      <c r="AS188" s="151">
        <v>31.138956130258588</v>
      </c>
      <c r="AT188"/>
      <c r="AU188"/>
      <c r="AV188"/>
      <c r="AW188"/>
    </row>
    <row r="189" spans="6:53">
      <c r="F189" s="258" t="s">
        <v>119</v>
      </c>
      <c r="G189">
        <v>118</v>
      </c>
      <c r="H189">
        <v>0.47997052825308784</v>
      </c>
      <c r="I189">
        <v>4.0675468496024396E-3</v>
      </c>
      <c r="J189" s="151"/>
      <c r="K189" s="258" t="s">
        <v>119</v>
      </c>
      <c r="L189">
        <v>118</v>
      </c>
      <c r="M189">
        <v>2.8183840018290476</v>
      </c>
      <c r="N189">
        <v>2.3884610184991929E-2</v>
      </c>
      <c r="O189" s="151"/>
      <c r="P189" s="258" t="s">
        <v>119</v>
      </c>
      <c r="Q189">
        <v>118</v>
      </c>
      <c r="R189">
        <v>0.24266733834425991</v>
      </c>
      <c r="S189">
        <v>2.0565028673242367E-3</v>
      </c>
      <c r="T189" s="151"/>
      <c r="U189" t="s">
        <v>119</v>
      </c>
      <c r="V189">
        <v>118</v>
      </c>
      <c r="W189">
        <v>1.2034819305795144</v>
      </c>
      <c r="X189">
        <v>1.01989994116908E-2</v>
      </c>
      <c r="Y189"/>
      <c r="Z189" s="258" t="s">
        <v>119</v>
      </c>
      <c r="AA189">
        <v>118</v>
      </c>
      <c r="AB189">
        <v>0.50359873365908381</v>
      </c>
      <c r="AC189">
        <v>4.2677858784668119E-3</v>
      </c>
      <c r="AD189" s="151"/>
      <c r="AE189" s="258" t="s">
        <v>119</v>
      </c>
      <c r="AF189">
        <v>118</v>
      </c>
      <c r="AG189">
        <v>0.22506792992665298</v>
      </c>
      <c r="AH189">
        <v>1.9073553383614659E-3</v>
      </c>
      <c r="AI189" s="151"/>
      <c r="AJ189" s="258" t="s">
        <v>119</v>
      </c>
      <c r="AK189">
        <v>118</v>
      </c>
      <c r="AL189">
        <v>0.42342214186646615</v>
      </c>
      <c r="AM189">
        <v>3.5883232361564928E-3</v>
      </c>
      <c r="AN189" s="151"/>
      <c r="AO189" s="258" t="s">
        <v>119</v>
      </c>
      <c r="AP189">
        <v>118</v>
      </c>
      <c r="AQ189">
        <v>0.28614816742005345</v>
      </c>
      <c r="AR189">
        <v>2.4249844696614697E-3</v>
      </c>
      <c r="AS189" s="151"/>
      <c r="AT189"/>
      <c r="AU189"/>
      <c r="AV189"/>
      <c r="AW189"/>
    </row>
    <row r="190" spans="6:53" ht="17" thickBot="1">
      <c r="F190" s="260" t="s">
        <v>120</v>
      </c>
      <c r="G190" s="252">
        <v>119</v>
      </c>
      <c r="H190" s="252">
        <v>0.95884907398414143</v>
      </c>
      <c r="I190" s="252"/>
      <c r="J190" s="263"/>
      <c r="K190" s="260" t="s">
        <v>120</v>
      </c>
      <c r="L190" s="252">
        <v>119</v>
      </c>
      <c r="M190" s="252">
        <v>3.9506559176841183</v>
      </c>
      <c r="N190" s="252"/>
      <c r="O190" s="263"/>
      <c r="P190" s="260" t="s">
        <v>120</v>
      </c>
      <c r="Q190" s="252">
        <v>119</v>
      </c>
      <c r="R190" s="252">
        <v>0.43704205610569963</v>
      </c>
      <c r="S190" s="252"/>
      <c r="T190" s="263"/>
      <c r="U190" s="252" t="s">
        <v>120</v>
      </c>
      <c r="V190" s="252">
        <v>119</v>
      </c>
      <c r="W190" s="252">
        <v>1.6718576401673828</v>
      </c>
      <c r="X190" s="252"/>
      <c r="Y190" s="252"/>
      <c r="Z190" s="260" t="s">
        <v>120</v>
      </c>
      <c r="AA190" s="252">
        <v>119</v>
      </c>
      <c r="AB190" s="252">
        <v>0.86218488374864177</v>
      </c>
      <c r="AC190" s="252"/>
      <c r="AD190" s="263"/>
      <c r="AE190" s="260" t="s">
        <v>120</v>
      </c>
      <c r="AF190" s="252">
        <v>119</v>
      </c>
      <c r="AG190" s="252">
        <v>0.48360843483757138</v>
      </c>
      <c r="AH190" s="252"/>
      <c r="AI190" s="263"/>
      <c r="AJ190" s="260" t="s">
        <v>120</v>
      </c>
      <c r="AK190" s="252">
        <v>119</v>
      </c>
      <c r="AL190" s="252">
        <v>0.61538849632693449</v>
      </c>
      <c r="AM190" s="252"/>
      <c r="AN190" s="263"/>
      <c r="AO190" s="260" t="s">
        <v>120</v>
      </c>
      <c r="AP190" s="252">
        <v>119</v>
      </c>
      <c r="AQ190" s="252">
        <v>0.36165965243740034</v>
      </c>
      <c r="AR190" s="252"/>
      <c r="AS190" s="263"/>
      <c r="AT190"/>
      <c r="AU190"/>
      <c r="AV190"/>
      <c r="AW190"/>
    </row>
    <row r="191" spans="6:53" ht="17" thickBot="1">
      <c r="F191" s="258"/>
      <c r="G191"/>
      <c r="H191"/>
      <c r="I191"/>
      <c r="J191" s="151"/>
      <c r="K191" s="258"/>
      <c r="L191"/>
      <c r="M191"/>
      <c r="N191"/>
      <c r="O191" s="151"/>
      <c r="P191" s="258"/>
      <c r="Q191"/>
      <c r="R191"/>
      <c r="S191"/>
      <c r="T191" s="151"/>
      <c r="U191"/>
      <c r="V191"/>
      <c r="W191"/>
      <c r="X191"/>
      <c r="Y191"/>
      <c r="Z191" s="258"/>
      <c r="AA191"/>
      <c r="AB191"/>
      <c r="AC191"/>
      <c r="AD191" s="151"/>
      <c r="AE191" s="258"/>
      <c r="AF191"/>
      <c r="AG191"/>
      <c r="AH191"/>
      <c r="AI191" s="151"/>
      <c r="AJ191" s="258"/>
      <c r="AK191"/>
      <c r="AL191"/>
      <c r="AM191"/>
      <c r="AN191" s="151"/>
      <c r="AO191" s="258"/>
      <c r="AP191"/>
      <c r="AQ191"/>
      <c r="AR191"/>
      <c r="AS191" s="151"/>
      <c r="AT191"/>
      <c r="AU191"/>
      <c r="AV191"/>
      <c r="AW191"/>
    </row>
    <row r="192" spans="6:53">
      <c r="F192" s="261"/>
      <c r="G192" s="253" t="s">
        <v>126</v>
      </c>
      <c r="H192" s="253" t="s">
        <v>115</v>
      </c>
      <c r="I192" s="253" t="s">
        <v>127</v>
      </c>
      <c r="J192" s="262" t="s">
        <v>128</v>
      </c>
      <c r="K192" s="261"/>
      <c r="L192" s="253" t="s">
        <v>126</v>
      </c>
      <c r="M192" s="253" t="s">
        <v>115</v>
      </c>
      <c r="N192" s="253" t="s">
        <v>127</v>
      </c>
      <c r="O192" s="262" t="s">
        <v>128</v>
      </c>
      <c r="P192" s="261"/>
      <c r="Q192" s="253" t="s">
        <v>126</v>
      </c>
      <c r="R192" s="253" t="s">
        <v>115</v>
      </c>
      <c r="S192" s="253" t="s">
        <v>127</v>
      </c>
      <c r="T192" s="262" t="s">
        <v>128</v>
      </c>
      <c r="U192" s="253"/>
      <c r="V192" s="253" t="s">
        <v>126</v>
      </c>
      <c r="W192" s="253" t="s">
        <v>115</v>
      </c>
      <c r="X192" s="253" t="s">
        <v>127</v>
      </c>
      <c r="Y192" s="253" t="s">
        <v>128</v>
      </c>
      <c r="Z192" s="261"/>
      <c r="AA192" s="253" t="s">
        <v>126</v>
      </c>
      <c r="AB192" s="253" t="s">
        <v>115</v>
      </c>
      <c r="AC192" s="253" t="s">
        <v>127</v>
      </c>
      <c r="AD192" s="262" t="s">
        <v>128</v>
      </c>
      <c r="AE192" s="261"/>
      <c r="AF192" s="253" t="s">
        <v>126</v>
      </c>
      <c r="AG192" s="253" t="s">
        <v>115</v>
      </c>
      <c r="AH192" s="253" t="s">
        <v>127</v>
      </c>
      <c r="AI192" s="262" t="s">
        <v>128</v>
      </c>
      <c r="AJ192" s="261"/>
      <c r="AK192" s="253" t="s">
        <v>126</v>
      </c>
      <c r="AL192" s="253" t="s">
        <v>115</v>
      </c>
      <c r="AM192" s="253" t="s">
        <v>127</v>
      </c>
      <c r="AN192" s="262" t="s">
        <v>128</v>
      </c>
      <c r="AO192" s="261"/>
      <c r="AP192" s="253" t="s">
        <v>126</v>
      </c>
      <c r="AQ192" s="253" t="s">
        <v>115</v>
      </c>
      <c r="AR192" s="253" t="s">
        <v>127</v>
      </c>
      <c r="AS192" s="262" t="s">
        <v>128</v>
      </c>
      <c r="AT192" s="250"/>
      <c r="AU192" s="250"/>
      <c r="AV192" s="250"/>
      <c r="AW192" s="250"/>
    </row>
    <row r="193" spans="6:49">
      <c r="F193" s="258" t="s">
        <v>121</v>
      </c>
      <c r="G193">
        <v>1.3620839486108701E-2</v>
      </c>
      <c r="H193">
        <v>5.8509491198700829E-3</v>
      </c>
      <c r="I193">
        <v>2.3279709337843539</v>
      </c>
      <c r="J193" s="151">
        <v>2.1616878246783256E-2</v>
      </c>
      <c r="K193" s="258" t="s">
        <v>121</v>
      </c>
      <c r="L193">
        <v>2.7209673309199777E-2</v>
      </c>
      <c r="M193">
        <v>1.417813536413394E-2</v>
      </c>
      <c r="N193">
        <v>1.9191291809804116</v>
      </c>
      <c r="O193" s="151">
        <v>5.7383013038415677E-2</v>
      </c>
      <c r="P193" s="258" t="s">
        <v>121</v>
      </c>
      <c r="Q193">
        <v>1.039320516340456E-2</v>
      </c>
      <c r="R193">
        <v>4.1603004833455342E-3</v>
      </c>
      <c r="S193">
        <v>2.4981861779000138</v>
      </c>
      <c r="T193" s="151">
        <v>1.3859995122120151E-2</v>
      </c>
      <c r="U193" t="s">
        <v>121</v>
      </c>
      <c r="V193">
        <v>2.0696001371630288E-2</v>
      </c>
      <c r="W193">
        <v>9.2648591852329196E-3</v>
      </c>
      <c r="X193">
        <v>2.2338171533807274</v>
      </c>
      <c r="Y193">
        <v>2.737945381734638E-2</v>
      </c>
      <c r="Z193" s="258" t="s">
        <v>121</v>
      </c>
      <c r="AA193">
        <v>6.1258184970530332E-3</v>
      </c>
      <c r="AB193">
        <v>5.9932356005096858E-3</v>
      </c>
      <c r="AC193">
        <v>1.0221220898661272</v>
      </c>
      <c r="AD193" s="272">
        <v>0.30881405726021277</v>
      </c>
      <c r="AE193" s="258" t="s">
        <v>121</v>
      </c>
      <c r="AF193">
        <v>3.6513548616066982E-3</v>
      </c>
      <c r="AG193">
        <v>4.0065986853185537E-3</v>
      </c>
      <c r="AH193">
        <v>0.91133531166633153</v>
      </c>
      <c r="AI193" s="272">
        <v>0.3639767166177561</v>
      </c>
      <c r="AJ193" s="258" t="s">
        <v>121</v>
      </c>
      <c r="AK193">
        <v>1.1184064072536004E-3</v>
      </c>
      <c r="AL193">
        <v>5.4954823614380109E-3</v>
      </c>
      <c r="AM193">
        <v>0.20351378344901927</v>
      </c>
      <c r="AN193" s="272">
        <v>0.83908401879500938</v>
      </c>
      <c r="AO193" s="258" t="s">
        <v>121</v>
      </c>
      <c r="AP193">
        <v>5.2200243830392602E-3</v>
      </c>
      <c r="AQ193">
        <v>4.517670169867624E-3</v>
      </c>
      <c r="AR193">
        <v>1.1554682362285462</v>
      </c>
      <c r="AS193" s="272">
        <v>0.25023305159121589</v>
      </c>
      <c r="AT193"/>
      <c r="AU193"/>
      <c r="AV193"/>
      <c r="AW193"/>
    </row>
    <row r="194" spans="6:49" ht="17" thickBot="1">
      <c r="F194" s="264" t="s">
        <v>129</v>
      </c>
      <c r="G194" s="251">
        <v>1.1614255435900611</v>
      </c>
      <c r="H194" s="251">
        <v>0.10703972014471418</v>
      </c>
      <c r="I194" s="251">
        <v>10.850416481095541</v>
      </c>
      <c r="J194" s="265">
        <v>1.9084475696070011E-19</v>
      </c>
      <c r="K194" s="264" t="s">
        <v>129</v>
      </c>
      <c r="L194" s="251">
        <v>1.7858873079258577</v>
      </c>
      <c r="M194" s="251">
        <v>0.25938076207103811</v>
      </c>
      <c r="N194" s="251">
        <v>6.8851957009700913</v>
      </c>
      <c r="O194" s="265">
        <v>2.981085517275322E-10</v>
      </c>
      <c r="P194" s="264" t="s">
        <v>129</v>
      </c>
      <c r="Q194" s="251">
        <v>0.73994351950738635</v>
      </c>
      <c r="R194" s="251">
        <v>7.6110284046550222E-2</v>
      </c>
      <c r="S194" s="251">
        <v>9.7219913021849393</v>
      </c>
      <c r="T194" s="265">
        <v>9.1497646384585365E-17</v>
      </c>
      <c r="U194" s="252" t="s">
        <v>129</v>
      </c>
      <c r="V194" s="252">
        <v>1.1486186539559424</v>
      </c>
      <c r="W194" s="252">
        <v>0.16949522445847839</v>
      </c>
      <c r="X194" s="252">
        <v>6.7767021615250407</v>
      </c>
      <c r="Y194" s="252">
        <v>5.1251088336495224E-10</v>
      </c>
      <c r="Z194" s="264" t="s">
        <v>129</v>
      </c>
      <c r="AA194" s="251">
        <v>1.0050216996703418</v>
      </c>
      <c r="AB194" s="251">
        <v>0.10964276877084506</v>
      </c>
      <c r="AC194" s="251">
        <v>9.1663290788547247</v>
      </c>
      <c r="AD194" s="265">
        <v>1.8758894308756998E-15</v>
      </c>
      <c r="AE194" s="264" t="s">
        <v>129</v>
      </c>
      <c r="AF194" s="251">
        <v>0.85338101972757052</v>
      </c>
      <c r="AG194" s="251">
        <v>7.3298398810584836E-2</v>
      </c>
      <c r="AH194" s="251">
        <v>11.642560186517143</v>
      </c>
      <c r="AI194" s="265">
        <v>2.5080166850806512E-21</v>
      </c>
      <c r="AJ194" s="264" t="s">
        <v>129</v>
      </c>
      <c r="AK194" s="251">
        <v>0.73534516600278677</v>
      </c>
      <c r="AL194" s="251">
        <v>0.10053666199742975</v>
      </c>
      <c r="AM194" s="251">
        <v>7.3141991328654425</v>
      </c>
      <c r="AN194" s="265">
        <v>3.3901365214745529E-11</v>
      </c>
      <c r="AO194" s="264" t="s">
        <v>129</v>
      </c>
      <c r="AP194" s="251">
        <v>0.46119563545919523</v>
      </c>
      <c r="AQ194" s="251">
        <v>8.2648155159395956E-2</v>
      </c>
      <c r="AR194" s="251">
        <v>5.5802290392293612</v>
      </c>
      <c r="AS194" s="265">
        <v>1.5545353497455748E-7</v>
      </c>
      <c r="AT194"/>
      <c r="AU194"/>
      <c r="AV194"/>
      <c r="AW194"/>
    </row>
    <row r="195" spans="6:49"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</row>
    <row r="196" spans="6:49"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</row>
    <row r="197" spans="6:49"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</row>
    <row r="198" spans="6:49">
      <c r="F198"/>
      <c r="G198"/>
      <c r="H198"/>
      <c r="I198" t="s">
        <v>225</v>
      </c>
      <c r="J198"/>
      <c r="K198"/>
      <c r="L198"/>
      <c r="M198"/>
      <c r="N198"/>
    </row>
    <row r="199" spans="6:49">
      <c r="F199"/>
      <c r="G199"/>
      <c r="H199"/>
      <c r="I199" t="s">
        <v>226</v>
      </c>
      <c r="J199"/>
      <c r="K199"/>
      <c r="L199"/>
      <c r="M199"/>
      <c r="N199"/>
      <c r="Z199"/>
      <c r="AA199"/>
      <c r="AB199"/>
      <c r="AC199"/>
    </row>
    <row r="200" spans="6:49">
      <c r="Z200"/>
      <c r="AA200"/>
      <c r="AB200"/>
      <c r="AC200"/>
    </row>
    <row r="201" spans="6:49">
      <c r="Z201"/>
      <c r="AA201"/>
      <c r="AB201"/>
      <c r="AC201"/>
    </row>
    <row r="202" spans="6:49">
      <c r="Z202"/>
      <c r="AA202"/>
      <c r="AB202"/>
      <c r="AC202"/>
    </row>
    <row r="203" spans="6:49">
      <c r="Z203"/>
      <c r="AA203"/>
      <c r="AB203"/>
      <c r="AC203"/>
    </row>
    <row r="204" spans="6:49">
      <c r="Z204"/>
      <c r="AA204"/>
      <c r="AB204"/>
      <c r="AC204"/>
    </row>
    <row r="205" spans="6:49">
      <c r="Z205"/>
      <c r="AA205"/>
      <c r="AB205"/>
      <c r="AC205"/>
    </row>
    <row r="206" spans="6:49">
      <c r="Z206"/>
      <c r="AA206"/>
      <c r="AB206"/>
      <c r="AC206"/>
    </row>
    <row r="207" spans="6:49">
      <c r="Z207"/>
      <c r="AA207"/>
      <c r="AB207"/>
      <c r="AC207"/>
    </row>
    <row r="208" spans="6:49">
      <c r="Z208"/>
      <c r="AA208"/>
      <c r="AB208"/>
      <c r="AC208"/>
    </row>
    <row r="209" spans="21:29">
      <c r="Z209" s="250"/>
      <c r="AA209"/>
      <c r="AB209"/>
      <c r="AC209"/>
    </row>
    <row r="210" spans="21:29">
      <c r="Z210"/>
      <c r="AA210"/>
      <c r="AB210"/>
      <c r="AC210"/>
    </row>
    <row r="211" spans="21:29">
      <c r="Z211"/>
      <c r="AA211"/>
      <c r="AB211"/>
      <c r="AC211"/>
    </row>
    <row r="212" spans="21:29">
      <c r="Z212"/>
      <c r="AA212"/>
      <c r="AB212"/>
      <c r="AC212"/>
    </row>
    <row r="213" spans="21:29">
      <c r="Z213"/>
      <c r="AA213"/>
      <c r="AB213"/>
      <c r="AC213"/>
    </row>
    <row r="214" spans="21:29">
      <c r="Z214" s="250"/>
      <c r="AA214" s="250"/>
      <c r="AB214" s="250"/>
      <c r="AC214" s="250"/>
    </row>
    <row r="215" spans="21:29">
      <c r="Z215"/>
      <c r="AA215"/>
      <c r="AB215"/>
      <c r="AC215"/>
    </row>
    <row r="216" spans="21:29">
      <c r="Z216"/>
      <c r="AA216"/>
      <c r="AB216"/>
      <c r="AC216"/>
    </row>
    <row r="217" spans="21:29">
      <c r="U217"/>
      <c r="V217"/>
      <c r="W217"/>
      <c r="X217"/>
      <c r="Y217"/>
      <c r="Z217"/>
      <c r="AA217"/>
      <c r="AB217"/>
      <c r="AC217"/>
    </row>
    <row r="218" spans="21:29">
      <c r="U218"/>
      <c r="V218"/>
      <c r="W218"/>
      <c r="X218"/>
      <c r="Y218"/>
      <c r="Z218"/>
      <c r="AA218"/>
      <c r="AB218"/>
      <c r="AC218"/>
    </row>
    <row r="219" spans="21:29">
      <c r="U219"/>
      <c r="V219"/>
      <c r="W219"/>
      <c r="X219"/>
      <c r="Y219"/>
      <c r="Z219"/>
      <c r="AA219"/>
      <c r="AB219"/>
      <c r="AC219"/>
    </row>
  </sheetData>
  <mergeCells count="12">
    <mergeCell ref="F21:F24"/>
    <mergeCell ref="AV54:AX54"/>
    <mergeCell ref="AO54:AS54"/>
    <mergeCell ref="C54:E54"/>
    <mergeCell ref="F54:J54"/>
    <mergeCell ref="K54:O54"/>
    <mergeCell ref="P54:T54"/>
    <mergeCell ref="AT54:AU54"/>
    <mergeCell ref="U54:Y54"/>
    <mergeCell ref="Z54:AD54"/>
    <mergeCell ref="AE54:AI54"/>
    <mergeCell ref="AJ54:AN54"/>
  </mergeCells>
  <pageMargins left="0.25" right="0.25" top="0.75" bottom="0.75" header="0.3" footer="0.3"/>
  <pageSetup scale="49" orientation="landscape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55EA-4DCB-8243-988C-BA08C9B0B5C0}">
  <dimension ref="B2:F18"/>
  <sheetViews>
    <sheetView showGridLines="0" topLeftCell="A11" zoomScale="134" workbookViewId="0">
      <selection activeCell="G7" sqref="G7"/>
    </sheetView>
  </sheetViews>
  <sheetFormatPr baseColWidth="10" defaultRowHeight="16"/>
  <cols>
    <col min="1" max="1" width="1.83203125" style="4" customWidth="1"/>
    <col min="2" max="2" width="30.83203125" style="4" customWidth="1"/>
    <col min="3" max="4" width="19.5" style="4" customWidth="1"/>
    <col min="5" max="5" width="13.6640625" style="4" customWidth="1"/>
    <col min="6" max="16384" width="10.83203125" style="4"/>
  </cols>
  <sheetData>
    <row r="2" spans="2:6" ht="18">
      <c r="B2" s="211" t="s">
        <v>230</v>
      </c>
    </row>
    <row r="4" spans="2:6">
      <c r="B4" s="5" t="s">
        <v>231</v>
      </c>
      <c r="C4" s="6"/>
    </row>
    <row r="5" spans="2:6">
      <c r="B5" s="4" t="s">
        <v>158</v>
      </c>
      <c r="C5" s="4">
        <v>13</v>
      </c>
      <c r="F5" s="212"/>
    </row>
    <row r="6" spans="2:6">
      <c r="B6" s="4" t="s">
        <v>159</v>
      </c>
      <c r="C6" s="213">
        <v>4.24E-2</v>
      </c>
      <c r="E6" s="212"/>
    </row>
    <row r="7" spans="2:6">
      <c r="B7" s="4" t="s">
        <v>160</v>
      </c>
      <c r="C7" s="213">
        <v>5.2600000000000001E-2</v>
      </c>
    </row>
    <row r="8" spans="2:6">
      <c r="B8" s="6" t="s">
        <v>161</v>
      </c>
      <c r="C8" s="29" t="s">
        <v>162</v>
      </c>
      <c r="F8" s="212"/>
    </row>
    <row r="9" spans="2:6">
      <c r="B9" s="5" t="s">
        <v>163</v>
      </c>
      <c r="C9" s="5">
        <v>1.21</v>
      </c>
    </row>
    <row r="10" spans="2:6">
      <c r="B10" s="27" t="s">
        <v>164</v>
      </c>
      <c r="C10" s="214">
        <f>PV(C7/2,C5*2,-C6/2*100,-100)</f>
        <v>90.482109318209368</v>
      </c>
      <c r="D10" s="4" t="str">
        <f ca="1">_xlfn.FORMULATEXT(C10)</f>
        <v>=PV(C7/2,C5*2,-C6/2*100,-100)</v>
      </c>
    </row>
    <row r="11" spans="2:6">
      <c r="B11" s="27" t="s">
        <v>165</v>
      </c>
      <c r="C11" s="215">
        <v>2.6</v>
      </c>
    </row>
    <row r="13" spans="2:6">
      <c r="B13" s="5" t="s">
        <v>166</v>
      </c>
      <c r="C13" s="216" t="s">
        <v>170</v>
      </c>
    </row>
    <row r="14" spans="2:6">
      <c r="B14" s="220" t="s">
        <v>167</v>
      </c>
      <c r="C14" s="221">
        <f>-C11*-1%</f>
        <v>2.6000000000000002E-2</v>
      </c>
      <c r="D14" s="4" t="str">
        <f ca="1">_xlfn.FORMULATEXT(C14)</f>
        <v>=-C11*-1%</v>
      </c>
    </row>
    <row r="15" spans="2:6">
      <c r="B15" s="217" t="s">
        <v>168</v>
      </c>
      <c r="C15" s="235">
        <f>C10*(1+C14)</f>
        <v>92.83464416048281</v>
      </c>
      <c r="D15" s="4" t="str">
        <f t="shared" ref="D15:D17" ca="1" si="0">_xlfn.FORMULATEXT(C15)</f>
        <v>=C10*(1+C14)</v>
      </c>
    </row>
    <row r="16" spans="2:6">
      <c r="B16" s="218" t="s">
        <v>169</v>
      </c>
      <c r="C16" s="219">
        <f>C14+1/2*C9*-1%^2</f>
        <v>2.6060500000000004E-2</v>
      </c>
      <c r="D16" s="4" t="str">
        <f t="shared" ca="1" si="0"/>
        <v>=C14+1/2*C9*-1%^2</v>
      </c>
    </row>
    <row r="17" spans="2:4">
      <c r="B17" s="218" t="s">
        <v>168</v>
      </c>
      <c r="C17" s="236">
        <f>C10*(1+C16)</f>
        <v>92.840118328096565</v>
      </c>
      <c r="D17" s="4" t="str">
        <f t="shared" ca="1" si="0"/>
        <v>=C10*(1+C16)</v>
      </c>
    </row>
    <row r="18" spans="2:4">
      <c r="B18" s="220"/>
    </row>
  </sheetData>
  <pageMargins left="0.25" right="0.25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Capital Allocation</vt:lpstr>
      <vt:lpstr>Asset Classes Allocation</vt:lpstr>
      <vt:lpstr>Security Allocation</vt:lpstr>
      <vt:lpstr>Data. Securities</vt:lpstr>
      <vt:lpstr>Data. Bond Duration &amp; Convexity</vt:lpstr>
      <vt:lpstr>'Asset Classes Allocation'!Print_Area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Ahn</dc:creator>
  <cp:lastModifiedBy>Vivek Vappala Premkumar</cp:lastModifiedBy>
  <dcterms:created xsi:type="dcterms:W3CDTF">2024-03-23T17:37:03Z</dcterms:created>
  <dcterms:modified xsi:type="dcterms:W3CDTF">2025-04-07T01:34:09Z</dcterms:modified>
</cp:coreProperties>
</file>